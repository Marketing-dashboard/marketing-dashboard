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Deepanshi Ahuja\Desktop\Marketing_Performance_dashboard\"/>
    </mc:Choice>
  </mc:AlternateContent>
  <xr:revisionPtr revIDLastSave="0" documentId="13_ncr:1_{D2FD18DD-C695-4525-94AB-DF6033959486}" xr6:coauthVersionLast="47" xr6:coauthVersionMax="47" xr10:uidLastSave="{00000000-0000-0000-0000-000000000000}"/>
  <bookViews>
    <workbookView xWindow="-110" yWindow="-110" windowWidth="19420" windowHeight="10420" xr2:uid="{D3142753-8123-445A-ADEA-4B38D5A12F31}"/>
  </bookViews>
  <sheets>
    <sheet name="New auto classified" sheetId="7" r:id="rId1"/>
    <sheet name="Enterprise(Bikes+Cars)" sheetId="1" r:id="rId2"/>
    <sheet name="Enterprise-Cars" sheetId="5" r:id="rId3"/>
    <sheet name="Enterprise-Bikes" sheetId="6" r:id="rId4"/>
    <sheet name="CPS" sheetId="2" r:id="rId5"/>
    <sheet name="NCBD" sheetId="3" r:id="rId6"/>
    <sheet name="CV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6" i="3" l="1"/>
  <c r="F7" i="3"/>
  <c r="F8" i="3"/>
  <c r="H3" i="3"/>
  <c r="H4" i="3"/>
  <c r="H5" i="3"/>
  <c r="H6" i="3"/>
  <c r="H7" i="3"/>
  <c r="H8" i="3"/>
  <c r="H2" i="3"/>
  <c r="G3" i="3"/>
  <c r="G4" i="3"/>
  <c r="G5" i="3"/>
  <c r="G6" i="3"/>
  <c r="G7" i="3"/>
  <c r="G8" i="3"/>
  <c r="G2" i="3"/>
  <c r="D3" i="7" l="1"/>
  <c r="D4" i="7"/>
  <c r="D5" i="7"/>
  <c r="D6" i="7"/>
  <c r="D7" i="7"/>
  <c r="D8" i="7"/>
  <c r="D2" i="7"/>
  <c r="H3" i="4"/>
  <c r="H4" i="4"/>
  <c r="H5" i="4"/>
  <c r="H6" i="4"/>
  <c r="H7" i="4"/>
  <c r="H8" i="4"/>
  <c r="H2" i="4"/>
  <c r="G3" i="4"/>
  <c r="G4" i="4"/>
  <c r="G5" i="4"/>
  <c r="G6" i="4"/>
  <c r="G7" i="4"/>
  <c r="G8" i="4"/>
  <c r="G2" i="4"/>
  <c r="D3" i="4"/>
  <c r="D4" i="4"/>
  <c r="D5" i="4"/>
  <c r="D6" i="4"/>
  <c r="D7" i="4"/>
  <c r="D8" i="4"/>
  <c r="D2" i="4"/>
  <c r="F3" i="3"/>
  <c r="F4" i="3"/>
  <c r="F5" i="3"/>
  <c r="F2" i="3"/>
  <c r="H3" i="2"/>
  <c r="H4" i="2"/>
  <c r="H5" i="2"/>
  <c r="H6" i="2"/>
  <c r="H7" i="2"/>
  <c r="H8" i="2"/>
  <c r="H2" i="2"/>
  <c r="G3" i="2"/>
  <c r="G4" i="2"/>
  <c r="G5" i="2"/>
  <c r="G6" i="2"/>
  <c r="G7" i="2"/>
  <c r="G8" i="2"/>
  <c r="G2" i="2"/>
  <c r="D3" i="2"/>
  <c r="D4" i="2"/>
  <c r="D5" i="2"/>
  <c r="D6" i="2"/>
  <c r="D7" i="2"/>
  <c r="D8" i="2"/>
  <c r="D2" i="2"/>
  <c r="H3" i="6"/>
  <c r="H4" i="6"/>
  <c r="H5" i="6"/>
  <c r="H6" i="6"/>
  <c r="H7" i="6"/>
  <c r="H8" i="6"/>
  <c r="H2" i="6"/>
  <c r="G3" i="6"/>
  <c r="G4" i="6"/>
  <c r="G5" i="6"/>
  <c r="G6" i="6"/>
  <c r="G7" i="6"/>
  <c r="G8" i="6"/>
  <c r="G2" i="6"/>
  <c r="D3" i="6"/>
  <c r="D4" i="6"/>
  <c r="D5" i="6"/>
  <c r="D6" i="6"/>
  <c r="D7" i="6"/>
  <c r="D8" i="6"/>
  <c r="D2" i="6"/>
  <c r="H3" i="5"/>
  <c r="H4" i="5"/>
  <c r="H5" i="5"/>
  <c r="H6" i="5"/>
  <c r="H7" i="5"/>
  <c r="H8" i="5"/>
  <c r="H2" i="5"/>
  <c r="G3" i="5"/>
  <c r="G4" i="5"/>
  <c r="G5" i="5"/>
  <c r="G6" i="5"/>
  <c r="G7" i="5"/>
  <c r="G8" i="5"/>
  <c r="G2" i="5"/>
  <c r="D3" i="5"/>
  <c r="D4" i="5"/>
  <c r="D5" i="5"/>
  <c r="D6" i="5"/>
  <c r="D7" i="5"/>
  <c r="D8" i="5"/>
  <c r="D2" i="5"/>
  <c r="H3" i="1"/>
  <c r="H4" i="1"/>
  <c r="H5" i="1"/>
  <c r="H6" i="1"/>
  <c r="H7" i="1"/>
  <c r="H8" i="1"/>
  <c r="H2" i="1"/>
  <c r="G3" i="1"/>
  <c r="G4" i="1"/>
  <c r="G5" i="1"/>
  <c r="G6" i="1"/>
  <c r="G7" i="1"/>
  <c r="G8" i="1"/>
  <c r="G2" i="1"/>
  <c r="D3" i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<sst xmlns="http://schemas.openxmlformats.org/spreadsheetml/2006/main" count="101" uniqueCount="15">
  <si>
    <t>Quarter</t>
  </si>
  <si>
    <t>Spends</t>
  </si>
  <si>
    <t>Revenue</t>
  </si>
  <si>
    <t>Margin</t>
  </si>
  <si>
    <t>Leads</t>
  </si>
  <si>
    <t>Tleads</t>
  </si>
  <si>
    <t>CPL</t>
  </si>
  <si>
    <t>TCPL</t>
  </si>
  <si>
    <t>Q1</t>
  </si>
  <si>
    <t>Q2</t>
  </si>
  <si>
    <t>Q3</t>
  </si>
  <si>
    <t>Q4</t>
  </si>
  <si>
    <t>Apr'26</t>
  </si>
  <si>
    <t>May'26</t>
  </si>
  <si>
    <t>Jun'26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</si>
</sst>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3" fontId="0" fillId="0" borderId="0" xfId="0" applyNumberFormat="1"/>
    <xf numFmtId="9" fontId="0" fillId="0" borderId="0" xfId="1" applyFont="1"/>
    <xf numFmtId="1" fontId="0" fillId="0" borderId="0" xfId="0" applyNumberFormat="1"/>
    <xf numFmtId="4" fontId="0" fillId="0" borderId="0" xfId="0" applyNumberFormat="1"/>
    <xf numFmtId="0" fontId="0" fillId="2" borderId="1" xfId="0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9" fontId="0" fillId="0" borderId="3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9" fontId="0" fillId="0" borderId="4" xfId="0" applyNumberFormat="1" applyBorder="1" applyAlignment="1">
      <alignment horizontal="center" vertical="center"/>
    </xf>
    <xf numFmtId="9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99-AC58-451E-981E-A5DCEA21A9CB}">
  <dimension ref="A1:L18"/>
  <sheetViews>
    <sheetView tabSelected="1" workbookViewId="0">
      <selection activeCell="F10" sqref="F10:F12"/>
    </sheetView>
  </sheetViews>
  <sheetFormatPr defaultRowHeight="14.5" x14ac:dyDescent="0.35"/>
  <cols>
    <col min="2" max="2" width="11.81640625" bestFit="1" customWidth="1"/>
    <col min="7" max="7" width="10.81640625" bestFit="1" customWidth="1"/>
    <col min="8" max="8" width="9.81640625" bestFit="1" customWidth="1"/>
    <col min="9" max="10" width="9.90625" bestFit="1" customWidth="1"/>
    <col min="12" max="12" width="11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</row>
    <row r="2" spans="1:12" x14ac:dyDescent="0.35">
      <c r="A2" t="s">
        <v>8</v>
      </c>
      <c r="B2">
        <v>28697571.333333332</v>
      </c>
      <c r="C2">
        <v>78856079.670000002</v>
      </c>
      <c r="D2" s="2">
        <f>1-B2/C2</f>
        <v>0.63607661636961854</v>
      </c>
    </row>
    <row r="3" spans="1:12" x14ac:dyDescent="0.35">
      <c r="A3" t="s">
        <v>9</v>
      </c>
      <c r="B3">
        <v>25982866.333333332</v>
      </c>
      <c r="C3">
        <v>79436651.003333345</v>
      </c>
      <c r="D3" s="2">
        <f t="shared" ref="D3:D8" si="0">1-B3/C3</f>
        <v>0.67291085405598183</v>
      </c>
      <c r="I3" s="1"/>
      <c r="J3" s="1"/>
    </row>
    <row r="4" spans="1:12" x14ac:dyDescent="0.35">
      <c r="A4" t="s">
        <v>10</v>
      </c>
      <c r="B4">
        <v>22446472</v>
      </c>
      <c r="C4">
        <v>87578003</v>
      </c>
      <c r="D4" s="2">
        <f t="shared" si="0"/>
        <v>0.74369737569832461</v>
      </c>
      <c r="I4" s="5"/>
      <c r="J4" s="7"/>
    </row>
    <row r="5" spans="1:12" x14ac:dyDescent="0.35">
      <c r="A5" t="s">
        <v>11</v>
      </c>
      <c r="B5">
        <v>20981571.666666668</v>
      </c>
      <c r="C5">
        <v>70292009.333333343</v>
      </c>
      <c r="D5" s="2">
        <f t="shared" si="0"/>
        <v>0.70150843793396944</v>
      </c>
      <c r="I5" s="6"/>
      <c r="J5" s="8"/>
      <c r="K5" s="11"/>
      <c r="L5" s="11"/>
    </row>
    <row r="6" spans="1:12" x14ac:dyDescent="0.35">
      <c r="A6" t="s">
        <v>12</v>
      </c>
      <c r="B6">
        <v>20494611</v>
      </c>
      <c r="C6">
        <v>62670342</v>
      </c>
      <c r="D6" s="2">
        <f t="shared" si="0"/>
        <v>0.67297751462725386</v>
      </c>
      <c r="I6" s="6"/>
      <c r="J6" s="9"/>
      <c r="K6" s="11"/>
      <c r="L6" s="11"/>
    </row>
    <row r="7" spans="1:12" x14ac:dyDescent="0.35">
      <c r="A7" t="s">
        <v>13</v>
      </c>
      <c r="B7">
        <v>22716933</v>
      </c>
      <c r="C7">
        <v>64088288</v>
      </c>
      <c r="D7" s="2">
        <f t="shared" si="0"/>
        <v>0.64553690371632333</v>
      </c>
      <c r="I7" s="6"/>
      <c r="J7" s="9"/>
      <c r="K7" s="11"/>
      <c r="L7" s="11"/>
    </row>
    <row r="8" spans="1:12" x14ac:dyDescent="0.35">
      <c r="A8" t="s">
        <v>14</v>
      </c>
      <c r="B8">
        <v>19698853</v>
      </c>
      <c r="C8">
        <v>20670650</v>
      </c>
      <c r="D8" s="2">
        <f t="shared" si="0"/>
        <v>4.7013374035165811E-2</v>
      </c>
      <c r="I8" s="6"/>
      <c r="J8" s="10"/>
      <c r="K8" s="11"/>
      <c r="L8" s="11"/>
    </row>
    <row r="9" spans="1:12" x14ac:dyDescent="0.35">
      <c r="I9" s="1"/>
      <c r="J9" s="1"/>
    </row>
    <row r="12" spans="1:12" x14ac:dyDescent="0.35">
      <c r="I12" s="2"/>
      <c r="J12" s="1"/>
    </row>
    <row r="13" spans="1:12" x14ac:dyDescent="0.35">
      <c r="I13" s="1"/>
      <c r="J13" s="1"/>
    </row>
    <row r="14" spans="1:12" x14ac:dyDescent="0.35">
      <c r="I14" s="1"/>
      <c r="J14" s="1"/>
    </row>
    <row r="15" spans="1:12" x14ac:dyDescent="0.35">
      <c r="I15" s="1"/>
      <c r="J15" s="1"/>
    </row>
    <row r="16" spans="1:12" x14ac:dyDescent="0.35">
      <c r="I16" s="1"/>
      <c r="J16" s="1"/>
    </row>
    <row r="17" spans="9:10" x14ac:dyDescent="0.35">
      <c r="I17" s="1"/>
      <c r="J17" s="1"/>
    </row>
    <row r="18" spans="9:10" x14ac:dyDescent="0.35">
      <c r="I18" s="1"/>
      <c r="J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76C1D-CCBC-4BF0-AA51-263FDCFF00F6}">
  <dimension ref="A1:H8"/>
  <sheetViews>
    <sheetView workbookViewId="0">
      <selection activeCell="C8" sqref="C8"/>
    </sheetView>
  </sheetViews>
  <sheetFormatPr defaultRowHeight="14.5" x14ac:dyDescent="0.35"/>
  <cols>
    <col min="2" max="3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 s="1">
        <v>11385625</v>
      </c>
      <c r="C2" s="1">
        <v>29781142</v>
      </c>
      <c r="D2" s="2">
        <f>IFERROR(1-B2/C2,)</f>
        <v>0.6176901140997213</v>
      </c>
      <c r="E2" s="1">
        <v>247528</v>
      </c>
      <c r="F2" s="1">
        <v>159135</v>
      </c>
      <c r="G2" s="3">
        <f>IFERROR(B2/E2,)</f>
        <v>45.997321515141721</v>
      </c>
      <c r="H2" s="3">
        <f>IFERROR(B2/F2,)</f>
        <v>71.546956986206681</v>
      </c>
    </row>
    <row r="3" spans="1:8" x14ac:dyDescent="0.35">
      <c r="A3" t="s">
        <v>9</v>
      </c>
      <c r="B3" s="1">
        <v>9950178</v>
      </c>
      <c r="C3" s="1">
        <v>30661397</v>
      </c>
      <c r="D3" s="2">
        <f t="shared" ref="D3:D8" si="0">IFERROR(1-B3/C3,)</f>
        <v>0.67548190971207211</v>
      </c>
      <c r="E3" s="1">
        <v>287479</v>
      </c>
      <c r="F3" s="1">
        <v>168120</v>
      </c>
      <c r="G3" s="3">
        <f t="shared" ref="G3:G8" si="1">IFERROR(B3/E3,)</f>
        <v>34.611842952006931</v>
      </c>
      <c r="H3" s="3">
        <f t="shared" ref="H3:H8" si="2">IFERROR(B3/F3,)</f>
        <v>59.184975017844394</v>
      </c>
    </row>
    <row r="4" spans="1:8" x14ac:dyDescent="0.35">
      <c r="A4" t="s">
        <v>10</v>
      </c>
      <c r="B4" s="1">
        <v>8816923</v>
      </c>
      <c r="C4" s="1">
        <v>27484150</v>
      </c>
      <c r="D4" s="2">
        <f t="shared" si="0"/>
        <v>0.67919972056621725</v>
      </c>
      <c r="E4" s="1">
        <v>272961</v>
      </c>
      <c r="F4" s="1">
        <v>142162</v>
      </c>
      <c r="G4" s="3">
        <f t="shared" si="1"/>
        <v>32.301035679089686</v>
      </c>
      <c r="H4" s="3">
        <f t="shared" si="2"/>
        <v>62.020251544013171</v>
      </c>
    </row>
    <row r="5" spans="1:8" x14ac:dyDescent="0.35">
      <c r="A5" t="s">
        <v>11</v>
      </c>
      <c r="B5" s="1">
        <v>8548105</v>
      </c>
      <c r="C5" s="1">
        <v>24414330</v>
      </c>
      <c r="D5" s="2">
        <f t="shared" si="0"/>
        <v>0.64987345546652309</v>
      </c>
      <c r="E5" s="1">
        <v>236910</v>
      </c>
      <c r="F5" s="1">
        <v>136378</v>
      </c>
      <c r="G5" s="3">
        <f t="shared" si="1"/>
        <v>36.081655480984338</v>
      </c>
      <c r="H5" s="3">
        <f t="shared" si="2"/>
        <v>62.679501092551583</v>
      </c>
    </row>
    <row r="6" spans="1:8" x14ac:dyDescent="0.35">
      <c r="A6" t="s">
        <v>12</v>
      </c>
      <c r="B6" s="1">
        <v>7043335</v>
      </c>
      <c r="C6" s="1">
        <v>20108993</v>
      </c>
      <c r="D6" s="2">
        <f t="shared" si="0"/>
        <v>0.64974203332807368</v>
      </c>
      <c r="E6" s="1">
        <v>203982</v>
      </c>
      <c r="F6" s="1">
        <v>121423</v>
      </c>
      <c r="G6" s="3">
        <f t="shared" si="1"/>
        <v>34.529198654783265</v>
      </c>
      <c r="H6" s="3">
        <f t="shared" si="2"/>
        <v>58.006596773263716</v>
      </c>
    </row>
    <row r="7" spans="1:8" x14ac:dyDescent="0.35">
      <c r="A7" t="s">
        <v>13</v>
      </c>
      <c r="B7" s="1">
        <v>7345395</v>
      </c>
      <c r="C7" s="1">
        <v>20039034</v>
      </c>
      <c r="D7" s="2">
        <f t="shared" si="0"/>
        <v>0.63344565411686005</v>
      </c>
      <c r="E7" s="1">
        <v>214425</v>
      </c>
      <c r="F7" s="1">
        <v>124417</v>
      </c>
      <c r="G7" s="3">
        <f t="shared" si="1"/>
        <v>34.256243441762855</v>
      </c>
      <c r="H7" s="3">
        <f t="shared" si="2"/>
        <v>59.038515636930647</v>
      </c>
    </row>
    <row r="8" spans="1:8" x14ac:dyDescent="0.35">
      <c r="A8" t="s">
        <v>14</v>
      </c>
      <c r="B8" s="1">
        <v>6094299</v>
      </c>
      <c r="C8" s="1">
        <v>16856556</v>
      </c>
      <c r="D8" s="2">
        <f t="shared" si="0"/>
        <v>0.63846120168319076</v>
      </c>
      <c r="E8" s="1">
        <v>161488</v>
      </c>
      <c r="F8" s="1">
        <v>95572</v>
      </c>
      <c r="G8" s="3">
        <f t="shared" si="1"/>
        <v>37.738401614980681</v>
      </c>
      <c r="H8" s="3">
        <f t="shared" si="2"/>
        <v>63.766573891934875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0C1A-8917-4C2A-88A6-06DD1C3DF39B}">
  <dimension ref="A1:N17"/>
  <sheetViews>
    <sheetView workbookViewId="0">
      <selection activeCell="H15" sqref="H15"/>
    </sheetView>
  </sheetViews>
  <sheetFormatPr defaultRowHeight="14.5" x14ac:dyDescent="0.35"/>
  <cols>
    <col min="2" max="3" width="12.453125" bestFit="1" customWidth="1"/>
    <col min="4" max="4" width="9.90625" bestFit="1" customWidth="1"/>
    <col min="6" max="6" width="18.7265625" customWidth="1"/>
    <col min="7" max="7" width="9.90625" bestFit="1" customWidth="1"/>
    <col min="8" max="8" width="7.54296875" customWidth="1"/>
    <col min="10" max="10" width="11.179687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14" x14ac:dyDescent="0.35">
      <c r="A2" t="s">
        <v>8</v>
      </c>
      <c r="B2" s="1">
        <v>8048147</v>
      </c>
      <c r="C2" s="1">
        <v>21606366</v>
      </c>
      <c r="D2" s="2">
        <f>IFERROR(1-B2/C2,)</f>
        <v>0.62751038281958205</v>
      </c>
      <c r="E2" s="1">
        <v>116513</v>
      </c>
      <c r="F2" s="1">
        <v>78355</v>
      </c>
      <c r="G2" s="3">
        <f>IFERROR(B2/E2,)</f>
        <v>69.075098916000783</v>
      </c>
      <c r="H2" s="3">
        <f>IFERROR(B2/F2,)</f>
        <v>102.71389190223981</v>
      </c>
    </row>
    <row r="3" spans="1:14" x14ac:dyDescent="0.35">
      <c r="A3" t="s">
        <v>9</v>
      </c>
      <c r="B3" s="1">
        <v>6925009</v>
      </c>
      <c r="C3" s="1">
        <v>20252592</v>
      </c>
      <c r="D3" s="2">
        <f t="shared" ref="D3:D8" si="0">IFERROR(1-B3/C3,)</f>
        <v>0.65806801420776173</v>
      </c>
      <c r="E3" s="1">
        <v>148945</v>
      </c>
      <c r="F3" s="1">
        <v>82175</v>
      </c>
      <c r="G3" s="3">
        <f t="shared" ref="G3:G8" si="1">IFERROR(B3/E3,)</f>
        <v>46.493732585853841</v>
      </c>
      <c r="H3" s="3">
        <f t="shared" ref="H3:H8" si="2">IFERROR(B3/F3,)</f>
        <v>84.271481594158814</v>
      </c>
    </row>
    <row r="4" spans="1:14" x14ac:dyDescent="0.35">
      <c r="A4" t="s">
        <v>10</v>
      </c>
      <c r="B4" s="1">
        <v>6734430</v>
      </c>
      <c r="C4" s="1">
        <v>21002006</v>
      </c>
      <c r="D4" s="2">
        <f t="shared" si="0"/>
        <v>0.67934348747448214</v>
      </c>
      <c r="E4" s="1">
        <v>162680</v>
      </c>
      <c r="F4" s="1">
        <v>89325</v>
      </c>
      <c r="G4" s="3">
        <f t="shared" si="1"/>
        <v>41.396791246619131</v>
      </c>
      <c r="H4" s="3">
        <f t="shared" si="2"/>
        <v>75.392443324937034</v>
      </c>
    </row>
    <row r="5" spans="1:14" x14ac:dyDescent="0.35">
      <c r="A5" t="s">
        <v>11</v>
      </c>
      <c r="B5" s="1">
        <v>6250954</v>
      </c>
      <c r="C5" s="1">
        <v>17222806</v>
      </c>
      <c r="D5" s="2">
        <f t="shared" si="0"/>
        <v>0.63705368335450108</v>
      </c>
      <c r="E5" s="1">
        <v>131378</v>
      </c>
      <c r="F5" s="1">
        <v>72324</v>
      </c>
      <c r="G5" s="3">
        <f t="shared" si="1"/>
        <v>47.579914445340926</v>
      </c>
      <c r="H5" s="3">
        <f t="shared" si="2"/>
        <v>86.429871135446049</v>
      </c>
    </row>
    <row r="6" spans="1:14" x14ac:dyDescent="0.35">
      <c r="A6" t="s">
        <v>12</v>
      </c>
      <c r="B6" s="1">
        <v>4708140</v>
      </c>
      <c r="C6" s="1">
        <v>12928777</v>
      </c>
      <c r="D6" s="2">
        <f t="shared" si="0"/>
        <v>0.63584026547909367</v>
      </c>
      <c r="E6" s="1">
        <v>102392</v>
      </c>
      <c r="F6" s="1">
        <v>49916</v>
      </c>
      <c r="G6" s="3">
        <f t="shared" si="1"/>
        <v>45.981521993905773</v>
      </c>
      <c r="H6" s="3">
        <f t="shared" si="2"/>
        <v>94.321259716323425</v>
      </c>
    </row>
    <row r="7" spans="1:14" x14ac:dyDescent="0.35">
      <c r="A7" t="s">
        <v>13</v>
      </c>
      <c r="B7" s="1">
        <v>5190567</v>
      </c>
      <c r="C7" s="1">
        <v>13084044</v>
      </c>
      <c r="D7" s="2">
        <f t="shared" si="0"/>
        <v>0.60329031299497315</v>
      </c>
      <c r="E7" s="1">
        <v>118891</v>
      </c>
      <c r="F7" s="1">
        <v>61861</v>
      </c>
      <c r="G7" s="3">
        <f t="shared" si="1"/>
        <v>43.658199527298116</v>
      </c>
      <c r="H7" s="3">
        <f t="shared" si="2"/>
        <v>83.906936518969943</v>
      </c>
    </row>
    <row r="8" spans="1:14" x14ac:dyDescent="0.35">
      <c r="A8" t="s">
        <v>14</v>
      </c>
      <c r="B8" s="1">
        <v>5000354</v>
      </c>
      <c r="C8" s="1">
        <v>12347958</v>
      </c>
      <c r="D8" s="2">
        <f t="shared" si="0"/>
        <v>0.59504607968378254</v>
      </c>
      <c r="E8" s="1">
        <v>102595</v>
      </c>
      <c r="F8">
        <v>61104</v>
      </c>
      <c r="G8" s="3">
        <f t="shared" si="1"/>
        <v>48.738768945855064</v>
      </c>
      <c r="H8" s="3">
        <f t="shared" si="2"/>
        <v>81.833496988740507</v>
      </c>
      <c r="K8" s="13"/>
      <c r="L8" s="13"/>
      <c r="M8" s="13"/>
      <c r="N8" s="13"/>
    </row>
    <row r="10" spans="1:14" x14ac:dyDescent="0.35">
      <c r="B10" s="1"/>
      <c r="C10" s="1"/>
      <c r="D10" s="2"/>
      <c r="E10" s="1"/>
    </row>
    <row r="11" spans="1:14" x14ac:dyDescent="0.35">
      <c r="G11" s="1"/>
      <c r="H11" s="1"/>
    </row>
    <row r="14" spans="1:14" x14ac:dyDescent="0.35">
      <c r="B14" s="1"/>
      <c r="C14" s="1"/>
      <c r="D14" s="1"/>
      <c r="G14" s="11"/>
      <c r="H14" s="11"/>
      <c r="I14" s="2"/>
      <c r="J14" s="2"/>
      <c r="L14" s="8"/>
    </row>
    <row r="15" spans="1:14" x14ac:dyDescent="0.35">
      <c r="B15" s="1"/>
      <c r="C15" s="1"/>
      <c r="D15" s="1"/>
      <c r="G15" s="11"/>
      <c r="H15" s="11"/>
      <c r="I15" s="2"/>
      <c r="J15" s="2"/>
      <c r="L15" s="9"/>
    </row>
    <row r="16" spans="1:14" x14ac:dyDescent="0.35">
      <c r="B16" s="4"/>
      <c r="C16" s="4"/>
      <c r="D16" s="1"/>
      <c r="G16" s="11"/>
      <c r="H16" s="11"/>
      <c r="I16" s="2"/>
      <c r="J16" s="2"/>
      <c r="L16" s="9"/>
    </row>
    <row r="17" spans="2:12" x14ac:dyDescent="0.35">
      <c r="B17" s="1"/>
      <c r="C17" s="1"/>
      <c r="D17" s="1"/>
      <c r="G17" s="11"/>
      <c r="H17" s="11"/>
      <c r="I17" s="2"/>
      <c r="J17" s="2"/>
      <c r="L17" s="9"/>
    </row>
  </sheetData>
  <mergeCells count="2">
    <mergeCell ref="K8:L8"/>
    <mergeCell ref="M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9AD5E-B5CB-413A-ABB0-6907D8565D10}">
  <dimension ref="A1:H10"/>
  <sheetViews>
    <sheetView workbookViewId="0">
      <selection activeCell="F14" sqref="F14"/>
    </sheetView>
  </sheetViews>
  <sheetFormatPr defaultRowHeight="14.5" x14ac:dyDescent="0.35"/>
  <cols>
    <col min="3" max="3" width="9.90625" bestFit="1" customWidth="1"/>
    <col min="4" max="4" width="8.906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 s="1">
        <v>3337478</v>
      </c>
      <c r="C2" s="1">
        <v>8174776</v>
      </c>
      <c r="D2" s="2">
        <f>IFERROR(1-B2/C2,)</f>
        <v>0.59173462367653862</v>
      </c>
      <c r="E2" s="1">
        <v>131015</v>
      </c>
      <c r="F2" s="1">
        <v>80780</v>
      </c>
      <c r="G2" s="3">
        <f>IFERROR(B2/E2,)</f>
        <v>25.474014425829104</v>
      </c>
      <c r="H2" s="3">
        <f>IFERROR(B2/F2,)</f>
        <v>41.315647437484529</v>
      </c>
    </row>
    <row r="3" spans="1:8" x14ac:dyDescent="0.35">
      <c r="A3" t="s">
        <v>9</v>
      </c>
      <c r="B3" s="1">
        <v>3025169</v>
      </c>
      <c r="C3" s="1">
        <v>10408805</v>
      </c>
      <c r="D3" s="2">
        <f t="shared" ref="D3:D8" si="0">IFERROR(1-B3/C3,)</f>
        <v>0.70936442752073847</v>
      </c>
      <c r="E3" s="1">
        <v>138534</v>
      </c>
      <c r="F3" s="1">
        <v>85945</v>
      </c>
      <c r="G3" s="3">
        <f t="shared" ref="G3:G8" si="1">IFERROR(B3/E3,)</f>
        <v>21.837014740063811</v>
      </c>
      <c r="H3" s="3">
        <f t="shared" ref="H3:H8" si="2">IFERROR(B3/F3,)</f>
        <v>35.198894641922159</v>
      </c>
    </row>
    <row r="4" spans="1:8" x14ac:dyDescent="0.35">
      <c r="A4" t="s">
        <v>10</v>
      </c>
      <c r="B4" s="1">
        <v>2082493</v>
      </c>
      <c r="C4" s="1">
        <v>6482144</v>
      </c>
      <c r="D4" s="2">
        <f t="shared" si="0"/>
        <v>0.67873391890090684</v>
      </c>
      <c r="E4" s="1">
        <v>110281</v>
      </c>
      <c r="F4" s="1">
        <v>52837</v>
      </c>
      <c r="G4" s="3">
        <f t="shared" si="1"/>
        <v>18.883515746139409</v>
      </c>
      <c r="H4" s="3">
        <f t="shared" si="2"/>
        <v>39.413535969112552</v>
      </c>
    </row>
    <row r="5" spans="1:8" x14ac:dyDescent="0.35">
      <c r="A5" t="s">
        <v>11</v>
      </c>
      <c r="B5" s="1">
        <v>2297150</v>
      </c>
      <c r="C5" s="1">
        <v>7191524</v>
      </c>
      <c r="D5" s="2">
        <f t="shared" si="0"/>
        <v>0.68057535509858558</v>
      </c>
      <c r="E5" s="1">
        <v>105532</v>
      </c>
      <c r="F5" s="1">
        <v>64055</v>
      </c>
      <c r="G5" s="3">
        <f t="shared" si="1"/>
        <v>21.767331236023196</v>
      </c>
      <c r="H5" s="3">
        <f t="shared" si="2"/>
        <v>35.862149715088599</v>
      </c>
    </row>
    <row r="6" spans="1:8" x14ac:dyDescent="0.35">
      <c r="A6" t="s">
        <v>12</v>
      </c>
      <c r="B6" s="1">
        <v>2335195</v>
      </c>
      <c r="C6" s="1">
        <v>7180216</v>
      </c>
      <c r="D6" s="2">
        <f t="shared" si="0"/>
        <v>0.67477371154293964</v>
      </c>
      <c r="E6" s="1">
        <v>101590</v>
      </c>
      <c r="F6" s="1">
        <v>71507</v>
      </c>
      <c r="G6" s="3">
        <f t="shared" si="1"/>
        <v>22.98646520326804</v>
      </c>
      <c r="H6" s="3">
        <f t="shared" si="2"/>
        <v>32.656872753716421</v>
      </c>
    </row>
    <row r="7" spans="1:8" x14ac:dyDescent="0.35">
      <c r="A7" t="s">
        <v>13</v>
      </c>
      <c r="B7" s="1">
        <v>2154828</v>
      </c>
      <c r="C7" s="1">
        <v>6954990</v>
      </c>
      <c r="D7" s="2">
        <f t="shared" si="0"/>
        <v>0.69017525546406255</v>
      </c>
      <c r="E7" s="1">
        <v>95534</v>
      </c>
      <c r="F7" s="1">
        <v>62556</v>
      </c>
      <c r="G7" s="3">
        <f t="shared" si="1"/>
        <v>22.555613708208597</v>
      </c>
      <c r="H7" s="3">
        <f t="shared" si="2"/>
        <v>34.446384039900252</v>
      </c>
    </row>
    <row r="8" spans="1:8" x14ac:dyDescent="0.35">
      <c r="A8" t="s">
        <v>14</v>
      </c>
      <c r="B8" s="1">
        <v>924003</v>
      </c>
      <c r="C8" s="1">
        <v>3830831</v>
      </c>
      <c r="D8" s="2">
        <f t="shared" si="0"/>
        <v>0.75879828684690087</v>
      </c>
      <c r="E8" s="1">
        <v>58893</v>
      </c>
      <c r="F8">
        <v>34468</v>
      </c>
      <c r="G8" s="3">
        <f t="shared" si="1"/>
        <v>15.689521674901941</v>
      </c>
      <c r="H8" s="3">
        <f t="shared" si="2"/>
        <v>26.807560635952189</v>
      </c>
    </row>
    <row r="10" spans="1:8" x14ac:dyDescent="0.35">
      <c r="C10" s="1"/>
      <c r="D10" s="1"/>
      <c r="E1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EF3B8-A3DC-45F4-A95B-1BA7F1C29896}">
  <dimension ref="A1:H10"/>
  <sheetViews>
    <sheetView workbookViewId="0">
      <selection activeCell="B8" sqref="B8"/>
    </sheetView>
  </sheetViews>
  <sheetFormatPr defaultRowHeight="14.5" x14ac:dyDescent="0.35"/>
  <cols>
    <col min="2" max="2" width="9.90625" bestFit="1" customWidth="1"/>
    <col min="3" max="4" width="12.45312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 s="1">
        <v>12503340</v>
      </c>
      <c r="C2" s="4">
        <v>37899460.670000002</v>
      </c>
      <c r="D2" s="2">
        <f>IFERROR(1-B2/C2,0)</f>
        <v>0.67009187521506752</v>
      </c>
      <c r="E2" s="1">
        <v>307892</v>
      </c>
      <c r="F2">
        <v>153946</v>
      </c>
      <c r="G2" s="3">
        <f>IFERROR(B2/E2,)</f>
        <v>40.60949943486677</v>
      </c>
      <c r="H2" s="3">
        <f>IFERROR(B2/F2,0)</f>
        <v>81.218998869733539</v>
      </c>
    </row>
    <row r="3" spans="1:8" x14ac:dyDescent="0.35">
      <c r="A3" t="s">
        <v>9</v>
      </c>
      <c r="B3" s="1">
        <v>12455728</v>
      </c>
      <c r="C3" s="4">
        <v>37780820.670000002</v>
      </c>
      <c r="D3" s="2">
        <f>IFERROR(1-B3/C3,0)</f>
        <v>0.67031610803810526</v>
      </c>
      <c r="E3" s="1">
        <v>378168</v>
      </c>
      <c r="F3" s="1">
        <v>189161</v>
      </c>
      <c r="G3" s="3">
        <f t="shared" ref="G3:G8" si="0">IFERROR(B3/E3,)</f>
        <v>32.937022698906304</v>
      </c>
      <c r="H3" s="3">
        <f t="shared" ref="H3:H8" si="1">IFERROR(B3/F3,0)</f>
        <v>65.847230665940657</v>
      </c>
    </row>
    <row r="4" spans="1:8" x14ac:dyDescent="0.35">
      <c r="A4" t="s">
        <v>10</v>
      </c>
      <c r="B4" s="1">
        <v>10463250</v>
      </c>
      <c r="C4" s="4">
        <v>49571180</v>
      </c>
      <c r="D4" s="2">
        <f>IFERROR(1-B4/C4,0)</f>
        <v>0.78892473408944475</v>
      </c>
      <c r="E4" s="1">
        <v>361210</v>
      </c>
      <c r="F4" s="1">
        <v>158494</v>
      </c>
      <c r="G4" s="3">
        <f t="shared" si="0"/>
        <v>28.967221284017608</v>
      </c>
      <c r="H4" s="3">
        <f t="shared" si="1"/>
        <v>66.016694638282843</v>
      </c>
    </row>
    <row r="5" spans="1:8" x14ac:dyDescent="0.35">
      <c r="A5" t="s">
        <v>11</v>
      </c>
      <c r="B5" s="1">
        <v>9276290</v>
      </c>
      <c r="C5" s="4">
        <v>34572876</v>
      </c>
      <c r="D5" s="2">
        <f>IFERROR(1-B5/C5,0)</f>
        <v>0.73168879557488942</v>
      </c>
      <c r="E5" s="1">
        <v>264672</v>
      </c>
      <c r="F5" s="1">
        <v>162204</v>
      </c>
      <c r="G5" s="3">
        <f t="shared" si="0"/>
        <v>35.048248398017165</v>
      </c>
      <c r="H5" s="3">
        <f t="shared" si="1"/>
        <v>57.189033562674162</v>
      </c>
    </row>
    <row r="6" spans="1:8" x14ac:dyDescent="0.35">
      <c r="A6" t="s">
        <v>12</v>
      </c>
      <c r="B6" s="1">
        <v>10507488</v>
      </c>
      <c r="C6" s="1">
        <v>33467089</v>
      </c>
      <c r="D6" s="2">
        <f>IFERROR(1-B6/'Enterprise-Cars'!B16,0)</f>
        <v>0</v>
      </c>
      <c r="E6" s="1">
        <v>302793</v>
      </c>
      <c r="F6" s="1">
        <v>183811</v>
      </c>
      <c r="G6" s="3">
        <f t="shared" si="0"/>
        <v>34.701885446493151</v>
      </c>
      <c r="H6" s="3">
        <f t="shared" si="1"/>
        <v>57.164631061253132</v>
      </c>
    </row>
    <row r="7" spans="1:8" x14ac:dyDescent="0.35">
      <c r="A7" t="s">
        <v>13</v>
      </c>
      <c r="B7" s="1">
        <v>11521198</v>
      </c>
      <c r="C7" s="1">
        <v>34170189</v>
      </c>
      <c r="D7" s="2">
        <f>IFERROR(1-B7/'Enterprise-Cars'!C16,0)</f>
        <v>0</v>
      </c>
      <c r="E7" s="1">
        <v>355617</v>
      </c>
      <c r="F7" s="1">
        <v>230542</v>
      </c>
      <c r="G7" s="3">
        <f t="shared" si="0"/>
        <v>32.397770635262091</v>
      </c>
      <c r="H7" s="3">
        <f t="shared" si="1"/>
        <v>49.974399458666966</v>
      </c>
    </row>
    <row r="8" spans="1:8" x14ac:dyDescent="0.35">
      <c r="A8" t="s">
        <v>14</v>
      </c>
      <c r="B8" s="1">
        <v>10381414</v>
      </c>
      <c r="D8" s="2">
        <f>IFERROR(1-B8/C8,0)</f>
        <v>0</v>
      </c>
      <c r="E8" s="1">
        <v>308998</v>
      </c>
      <c r="F8" s="1">
        <v>182714</v>
      </c>
      <c r="G8" s="3">
        <f t="shared" si="0"/>
        <v>33.597026517970988</v>
      </c>
      <c r="H8" s="3">
        <f t="shared" si="1"/>
        <v>56.817835524371425</v>
      </c>
    </row>
    <row r="10" spans="1:8" x14ac:dyDescent="0.35">
      <c r="C10" s="1"/>
      <c r="D10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5313-635C-4516-969C-7DEC0B477EC2}">
  <dimension ref="A1:P18"/>
  <sheetViews>
    <sheetView workbookViewId="0">
      <selection activeCell="C8" sqref="C8"/>
    </sheetView>
  </sheetViews>
  <sheetFormatPr defaultRowHeight="14.5" x14ac:dyDescent="0.35"/>
  <cols>
    <col min="2" max="3" width="8.90625" bestFit="1" customWidth="1"/>
    <col min="4" max="5" width="8.90625" customWidth="1"/>
    <col min="14" max="15" width="9.90625" bestFit="1" customWidth="1"/>
  </cols>
  <sheetData>
    <row r="1" spans="1:16" x14ac:dyDescent="0.3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3</v>
      </c>
      <c r="G1" t="s">
        <v>6</v>
      </c>
      <c r="H1" t="s">
        <v>7</v>
      </c>
    </row>
    <row r="2" spans="1:16" x14ac:dyDescent="0.35">
      <c r="A2" t="s">
        <v>8</v>
      </c>
      <c r="B2" s="1">
        <v>4166382</v>
      </c>
      <c r="C2" s="1">
        <v>8563205.666666666</v>
      </c>
      <c r="D2" s="1">
        <v>87405.333329999994</v>
      </c>
      <c r="E2" s="1">
        <v>60984.666669999999</v>
      </c>
      <c r="F2" s="2">
        <f>1-B2/C2</f>
        <v>0.51345533878531546</v>
      </c>
      <c r="G2" s="12">
        <f>B2/D2</f>
        <v>47.667365837617361</v>
      </c>
      <c r="H2" s="3">
        <f>B2/E2</f>
        <v>68.318517219174296</v>
      </c>
    </row>
    <row r="3" spans="1:16" x14ac:dyDescent="0.35">
      <c r="A3" t="s">
        <v>9</v>
      </c>
      <c r="B3" s="1">
        <v>2830638.3333333335</v>
      </c>
      <c r="C3" s="1">
        <v>8672452.666666666</v>
      </c>
      <c r="D3" s="1">
        <v>51662.333330000001</v>
      </c>
      <c r="E3" s="1">
        <v>37841</v>
      </c>
      <c r="F3" s="2">
        <f>1-B3/C3</f>
        <v>0.67360579041115543</v>
      </c>
      <c r="G3" s="12">
        <f t="shared" ref="G3:G8" si="0">B3/D3</f>
        <v>54.791143776883942</v>
      </c>
      <c r="H3" s="3">
        <f t="shared" ref="H3:H8" si="1">B3/E3</f>
        <v>74.803475947605335</v>
      </c>
    </row>
    <row r="4" spans="1:16" x14ac:dyDescent="0.35">
      <c r="A4" t="s">
        <v>10</v>
      </c>
      <c r="B4" s="1">
        <v>2278902</v>
      </c>
      <c r="C4" s="1">
        <v>7208672.666666667</v>
      </c>
      <c r="D4" s="1">
        <v>40684</v>
      </c>
      <c r="E4" s="1">
        <v>26378.666669999999</v>
      </c>
      <c r="F4" s="2">
        <f>1-B4/C4</f>
        <v>0.68386662768892548</v>
      </c>
      <c r="G4" s="12">
        <f t="shared" si="0"/>
        <v>56.014698653033136</v>
      </c>
      <c r="H4" s="3">
        <f t="shared" si="1"/>
        <v>86.391857045290152</v>
      </c>
      <c r="O4" s="1"/>
      <c r="P4" s="1"/>
    </row>
    <row r="5" spans="1:16" x14ac:dyDescent="0.35">
      <c r="A5" t="s">
        <v>11</v>
      </c>
      <c r="B5" s="1">
        <v>2355087</v>
      </c>
      <c r="C5" s="1">
        <v>7819269.333333333</v>
      </c>
      <c r="D5" s="1">
        <v>42768</v>
      </c>
      <c r="E5" s="1">
        <v>31352.333330000001</v>
      </c>
      <c r="F5" s="2">
        <f>1-B5/C5</f>
        <v>0.6988098376455294</v>
      </c>
      <c r="G5" s="12">
        <f t="shared" si="0"/>
        <v>55.066568462401797</v>
      </c>
      <c r="H5" s="3">
        <f t="shared" si="1"/>
        <v>75.116801521961875</v>
      </c>
      <c r="O5" s="1"/>
    </row>
    <row r="6" spans="1:16" x14ac:dyDescent="0.35">
      <c r="A6" t="s">
        <v>12</v>
      </c>
      <c r="B6" s="1">
        <v>2063494</v>
      </c>
      <c r="C6" s="1">
        <v>7116075</v>
      </c>
      <c r="D6">
        <v>45856</v>
      </c>
      <c r="E6">
        <v>31951</v>
      </c>
      <c r="F6" s="2">
        <f t="shared" ref="F6:F8" si="2">1-B6/C6</f>
        <v>0.71002357338841993</v>
      </c>
      <c r="G6" s="12">
        <f t="shared" si="0"/>
        <v>44.999433007676203</v>
      </c>
      <c r="H6" s="3">
        <f t="shared" si="1"/>
        <v>64.583080341773339</v>
      </c>
      <c r="O6" s="1"/>
    </row>
    <row r="7" spans="1:16" x14ac:dyDescent="0.35">
      <c r="A7" t="s">
        <v>13</v>
      </c>
      <c r="B7" s="1">
        <v>3099524</v>
      </c>
      <c r="C7" s="1">
        <v>7872299</v>
      </c>
      <c r="D7">
        <v>61048</v>
      </c>
      <c r="E7">
        <v>39385</v>
      </c>
      <c r="F7" s="2">
        <f t="shared" si="2"/>
        <v>0.60627460923422749</v>
      </c>
      <c r="G7" s="12">
        <f t="shared" si="0"/>
        <v>50.771917179923996</v>
      </c>
      <c r="H7" s="3">
        <f t="shared" si="1"/>
        <v>78.698083026532942</v>
      </c>
      <c r="O7" s="1"/>
    </row>
    <row r="8" spans="1:16" x14ac:dyDescent="0.35">
      <c r="A8" t="s">
        <v>14</v>
      </c>
      <c r="B8" s="1">
        <v>2500483</v>
      </c>
      <c r="C8">
        <v>3814094</v>
      </c>
      <c r="D8">
        <v>64898</v>
      </c>
      <c r="E8">
        <v>39859</v>
      </c>
      <c r="F8" s="2">
        <f t="shared" si="2"/>
        <v>0.34440970778381441</v>
      </c>
      <c r="G8" s="12">
        <f t="shared" si="0"/>
        <v>38.529430799100126</v>
      </c>
      <c r="H8" s="3">
        <f t="shared" si="1"/>
        <v>62.733209563712087</v>
      </c>
      <c r="O8" s="1"/>
    </row>
    <row r="9" spans="1:16" x14ac:dyDescent="0.35">
      <c r="O9" s="1"/>
    </row>
    <row r="10" spans="1:16" x14ac:dyDescent="0.35">
      <c r="B10" s="1"/>
      <c r="C10" s="1"/>
      <c r="O10" s="1"/>
    </row>
    <row r="11" spans="1:16" x14ac:dyDescent="0.35">
      <c r="O11" s="1"/>
    </row>
    <row r="12" spans="1:16" x14ac:dyDescent="0.35">
      <c r="O12" s="1"/>
    </row>
    <row r="13" spans="1:16" x14ac:dyDescent="0.35">
      <c r="O13" s="1"/>
    </row>
    <row r="14" spans="1:16" x14ac:dyDescent="0.35">
      <c r="O14" s="1"/>
    </row>
    <row r="15" spans="1:16" x14ac:dyDescent="0.35">
      <c r="O15" s="1"/>
    </row>
    <row r="16" spans="1:16" x14ac:dyDescent="0.35">
      <c r="O16" s="1"/>
    </row>
    <row r="17" spans="14:15" x14ac:dyDescent="0.35">
      <c r="O17" s="1"/>
    </row>
    <row r="18" spans="14:15" x14ac:dyDescent="0.35">
      <c r="N18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E633C-9422-4872-865F-7200F0788355}">
  <dimension ref="A1:H8"/>
  <sheetViews>
    <sheetView workbookViewId="0">
      <selection activeCell="B8" sqref="B8"/>
    </sheetView>
  </sheetViews>
  <sheetFormatPr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5">
      <c r="A2" t="s">
        <v>8</v>
      </c>
      <c r="B2">
        <v>642224.33333333337</v>
      </c>
      <c r="C2">
        <v>2612271.3333333335</v>
      </c>
      <c r="D2" s="2">
        <f>IFERROR(1-B2/C2,)</f>
        <v>0.75415098533664315</v>
      </c>
      <c r="E2">
        <v>21599.666666666668</v>
      </c>
      <c r="F2">
        <v>15650.333333333334</v>
      </c>
      <c r="G2" s="3">
        <f>IFERROR(B2/E2,)</f>
        <v>29.73306686831587</v>
      </c>
      <c r="H2" s="3">
        <f>IFERROR(B2/F2,)</f>
        <v>41.035824583075971</v>
      </c>
    </row>
    <row r="3" spans="1:8" x14ac:dyDescent="0.35">
      <c r="A3" t="s">
        <v>9</v>
      </c>
      <c r="B3">
        <v>746322</v>
      </c>
      <c r="C3">
        <v>2321980.6666666665</v>
      </c>
      <c r="D3" s="2">
        <f t="shared" ref="D3:D8" si="0">IFERROR(1-B3/C3,)</f>
        <v>0.67858388714692142</v>
      </c>
      <c r="E3">
        <v>19604</v>
      </c>
      <c r="F3">
        <v>14003.333333333334</v>
      </c>
      <c r="G3" s="3">
        <f t="shared" ref="G3:G8" si="1">IFERROR(B3/E3,)</f>
        <v>38.069883697204652</v>
      </c>
      <c r="H3" s="3">
        <f t="shared" ref="H3:H8" si="2">IFERROR(B3/F3,)</f>
        <v>53.296024756010475</v>
      </c>
    </row>
    <row r="4" spans="1:8" x14ac:dyDescent="0.35">
      <c r="A4" t="s">
        <v>10</v>
      </c>
      <c r="B4">
        <v>887397</v>
      </c>
      <c r="C4">
        <v>3314000.3333333335</v>
      </c>
      <c r="D4" s="2">
        <f t="shared" si="0"/>
        <v>0.73222784829733978</v>
      </c>
      <c r="E4">
        <v>27567.666666666668</v>
      </c>
      <c r="F4">
        <v>18306</v>
      </c>
      <c r="G4" s="3">
        <f t="shared" si="1"/>
        <v>32.189775461591474</v>
      </c>
      <c r="H4" s="3">
        <f t="shared" si="2"/>
        <v>48.475745657161589</v>
      </c>
    </row>
    <row r="5" spans="1:8" x14ac:dyDescent="0.35">
      <c r="A5" t="s">
        <v>11</v>
      </c>
      <c r="B5">
        <v>802089.66666666663</v>
      </c>
      <c r="C5">
        <v>3485534</v>
      </c>
      <c r="D5" s="2">
        <f t="shared" si="0"/>
        <v>0.76988040665600543</v>
      </c>
      <c r="E5">
        <v>24847.666666666668</v>
      </c>
      <c r="F5">
        <v>17539.333333333332</v>
      </c>
      <c r="G5" s="3">
        <f t="shared" si="1"/>
        <v>32.28028117999007</v>
      </c>
      <c r="H5" s="3">
        <f t="shared" si="2"/>
        <v>45.730909574670264</v>
      </c>
    </row>
    <row r="6" spans="1:8" x14ac:dyDescent="0.35">
      <c r="A6" t="s">
        <v>12</v>
      </c>
      <c r="B6">
        <v>880294</v>
      </c>
      <c r="C6">
        <v>1978185</v>
      </c>
      <c r="D6" s="2">
        <f t="shared" si="0"/>
        <v>0.55499915326422955</v>
      </c>
      <c r="E6">
        <v>21514</v>
      </c>
      <c r="F6">
        <v>19254</v>
      </c>
      <c r="G6" s="3">
        <f t="shared" si="1"/>
        <v>40.917263177465834</v>
      </c>
      <c r="H6" s="3">
        <f t="shared" si="2"/>
        <v>45.720058169730962</v>
      </c>
    </row>
    <row r="7" spans="1:8" x14ac:dyDescent="0.35">
      <c r="A7" t="s">
        <v>13</v>
      </c>
      <c r="B7">
        <v>750816</v>
      </c>
      <c r="C7">
        <v>2006766</v>
      </c>
      <c r="D7" s="2">
        <f t="shared" si="0"/>
        <v>0.62585772332200174</v>
      </c>
      <c r="E7">
        <v>22011</v>
      </c>
      <c r="F7">
        <v>20413</v>
      </c>
      <c r="G7" s="3">
        <f t="shared" si="1"/>
        <v>34.11094452773613</v>
      </c>
      <c r="H7" s="3">
        <f t="shared" si="2"/>
        <v>36.781266839758977</v>
      </c>
    </row>
    <row r="8" spans="1:8" x14ac:dyDescent="0.35">
      <c r="A8" t="s">
        <v>14</v>
      </c>
      <c r="B8">
        <v>722657</v>
      </c>
      <c r="D8" s="2">
        <f t="shared" si="0"/>
        <v>0</v>
      </c>
      <c r="E8">
        <v>20517</v>
      </c>
      <c r="F8">
        <v>16843</v>
      </c>
      <c r="G8" s="3">
        <f t="shared" si="1"/>
        <v>35.222352195740115</v>
      </c>
      <c r="H8" s="3">
        <f t="shared" si="2"/>
        <v>42.905480021373862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New auto classified</vt:lpstr>
      <vt:lpstr>Enterprise(Bikes+Cars)</vt:lpstr>
      <vt:lpstr>Enterprise-Cars</vt:lpstr>
      <vt:lpstr>Enterprise-Bikes</vt:lpstr>
      <vt:lpstr>CPS</vt:lpstr>
      <vt:lpstr>NCBD</vt:lpstr>
      <vt:lpstr>CV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Deepanshi Ahuja</dc:creator>
  <cp:lastModifiedBy>Deepanshi Ahuja</cp:lastModifiedBy>
  <dcterms:created xsi:type="dcterms:W3CDTF">2026-06-15T04:17:16Z</dcterms:created>
  <dcterms:modified xsi:type="dcterms:W3CDTF">2026-06-25T14:11:49Z</dcterms:modified>
</cp:coreProperties>
</file>