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Marketing_Performance_dashboard\"/>
    </mc:Choice>
  </mc:AlternateContent>
  <xr:revisionPtr revIDLastSave="0" documentId="13_ncr:1_{0F47C932-5CB8-41DB-875E-EAF25B7E789B}" xr6:coauthVersionLast="47" xr6:coauthVersionMax="47" xr10:uidLastSave="{00000000-0000-0000-0000-000000000000}"/>
  <bookViews>
    <workbookView xWindow="-110" yWindow="-110" windowWidth="19420" windowHeight="10420" xr2:uid="{D3142753-8123-445A-ADEA-4B38D5A12F31}"/>
  </bookViews>
  <sheets>
    <sheet name="New auto classified" sheetId="7" r:id="rId1"/>
    <sheet name="Enterprise(Bikes+Cars)" sheetId="1" r:id="rId2"/>
    <sheet name="Enterprise-Cars" sheetId="5" r:id="rId3"/>
    <sheet name="Enterprise-Bikes" sheetId="6" r:id="rId4"/>
    <sheet name="CPS" sheetId="2" r:id="rId5"/>
    <sheet name="NCBD" sheetId="3" r:id="rId6"/>
    <sheet name="CV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7" l="1"/>
  <c r="G7" i="4"/>
  <c r="H7" i="4"/>
  <c r="D7" i="4"/>
  <c r="G6" i="4"/>
  <c r="H6" i="4"/>
  <c r="D7" i="3"/>
  <c r="D6" i="3"/>
  <c r="H7" i="2"/>
  <c r="G7" i="2"/>
  <c r="D7" i="2"/>
  <c r="G6" i="2"/>
  <c r="H6" i="2"/>
  <c r="D6" i="2"/>
  <c r="G7" i="6"/>
  <c r="H7" i="6"/>
  <c r="D7" i="6"/>
  <c r="G6" i="6"/>
  <c r="H6" i="6"/>
  <c r="D6" i="6"/>
  <c r="G7" i="5"/>
  <c r="H7" i="5"/>
  <c r="D7" i="5"/>
  <c r="G6" i="5"/>
  <c r="H6" i="5"/>
  <c r="D6" i="5"/>
  <c r="G6" i="1"/>
  <c r="H6" i="1"/>
  <c r="G7" i="1"/>
  <c r="H7" i="1"/>
  <c r="D6" i="7" l="1"/>
  <c r="D6" i="4"/>
  <c r="D3" i="7"/>
  <c r="D4" i="7"/>
  <c r="D5" i="7"/>
  <c r="D2" i="7"/>
  <c r="H3" i="4"/>
  <c r="H4" i="4"/>
  <c r="H5" i="4"/>
  <c r="H2" i="4"/>
  <c r="G3" i="4"/>
  <c r="G4" i="4"/>
  <c r="G5" i="4"/>
  <c r="G2" i="4"/>
  <c r="D3" i="4"/>
  <c r="D4" i="4"/>
  <c r="D5" i="4"/>
  <c r="D2" i="4"/>
  <c r="D3" i="3"/>
  <c r="D4" i="3"/>
  <c r="D5" i="3"/>
  <c r="D2" i="3"/>
  <c r="H3" i="2"/>
  <c r="H4" i="2"/>
  <c r="H5" i="2"/>
  <c r="H2" i="2"/>
  <c r="G3" i="2"/>
  <c r="G4" i="2"/>
  <c r="G5" i="2"/>
  <c r="G2" i="2"/>
  <c r="D3" i="2"/>
  <c r="D4" i="2"/>
  <c r="D5" i="2"/>
  <c r="D2" i="2"/>
  <c r="H3" i="6"/>
  <c r="H4" i="6"/>
  <c r="H5" i="6"/>
  <c r="H2" i="6"/>
  <c r="G3" i="6"/>
  <c r="G4" i="6"/>
  <c r="G5" i="6"/>
  <c r="G2" i="6"/>
  <c r="D3" i="6"/>
  <c r="D4" i="6"/>
  <c r="D5" i="6"/>
  <c r="D2" i="6"/>
  <c r="H3" i="5"/>
  <c r="H4" i="5"/>
  <c r="H5" i="5"/>
  <c r="H2" i="5"/>
  <c r="G3" i="5"/>
  <c r="G4" i="5"/>
  <c r="G5" i="5"/>
  <c r="G2" i="5"/>
  <c r="D3" i="5"/>
  <c r="D4" i="5"/>
  <c r="D5" i="5"/>
  <c r="D2" i="5"/>
  <c r="H3" i="1"/>
  <c r="H4" i="1"/>
  <c r="H5" i="1"/>
  <c r="H2" i="1"/>
  <c r="G3" i="1"/>
  <c r="G4" i="1"/>
  <c r="G5" i="1"/>
  <c r="G2" i="1"/>
  <c r="D3" i="1"/>
  <c r="D4" i="1"/>
  <c r="D5" i="1"/>
  <c r="D2" i="1"/>
</calcChain>
</file>

<file path=xl/sharedStrings.xml><?xml version="1.0" encoding="utf-8"?>
<sst xmlns="http://schemas.openxmlformats.org/spreadsheetml/2006/main" count="90" uniqueCount="14">
  <si>
    <t>Quarter</t>
  </si>
  <si>
    <t>Spends</t>
  </si>
  <si>
    <t>Revenue</t>
  </si>
  <si>
    <t>Margin</t>
  </si>
  <si>
    <t>Leads</t>
  </si>
  <si>
    <t>Tleads</t>
  </si>
  <si>
    <t>CPL</t>
  </si>
  <si>
    <t>TCPL</t>
  </si>
  <si>
    <t>Q1'26</t>
  </si>
  <si>
    <t>Q2'26</t>
  </si>
  <si>
    <t>Q3'26</t>
  </si>
  <si>
    <t>Q4'26</t>
  </si>
  <si>
    <t>Q1'27</t>
  </si>
  <si>
    <t>July'26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</si>
</sst>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9" fontId="0" fillId="0" borderId="0" xfId="1" applyFont="1"/>
    <xf numFmtId="1" fontId="0" fillId="0" borderId="0" xfId="0" applyNumberFormat="1"/>
    <xf numFmtId="4" fontId="0" fillId="0" borderId="0" xfId="0" applyNumberFormat="1"/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B399-AC58-451E-981E-A5DCEA21A9CB}">
  <dimension ref="A1:L15"/>
  <sheetViews>
    <sheetView tabSelected="1" workbookViewId="0">
      <selection activeCell="A3" sqref="A3"/>
    </sheetView>
  </sheetViews>
  <sheetFormatPr defaultRowHeight="14.5" x14ac:dyDescent="0.35"/>
  <cols>
    <col min="2" max="2" width="11.81640625" bestFit="1" customWidth="1"/>
    <col min="3" max="3" width="10.81640625" bestFit="1" customWidth="1"/>
    <col min="7" max="7" width="10.81640625" bestFit="1" customWidth="1"/>
    <col min="8" max="8" width="9.81640625" bestFit="1" customWidth="1"/>
    <col min="9" max="10" width="9.90625" bestFit="1" customWidth="1"/>
    <col min="12" max="12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</row>
    <row r="2" spans="1:12" x14ac:dyDescent="0.35">
      <c r="A2" t="s">
        <v>8</v>
      </c>
      <c r="B2">
        <v>28697571.333333332</v>
      </c>
      <c r="C2">
        <v>78856079.670000002</v>
      </c>
      <c r="D2" s="2">
        <f>1-B2/C2</f>
        <v>0.63607661636961854</v>
      </c>
    </row>
    <row r="3" spans="1:12" x14ac:dyDescent="0.35">
      <c r="A3" t="s">
        <v>9</v>
      </c>
      <c r="B3">
        <v>25982866.333333332</v>
      </c>
      <c r="C3">
        <v>79436651.003333345</v>
      </c>
      <c r="D3" s="2">
        <f t="shared" ref="D3:D7" si="0">1-B3/C3</f>
        <v>0.67291085405598183</v>
      </c>
      <c r="I3" s="1"/>
      <c r="J3" s="1"/>
    </row>
    <row r="4" spans="1:12" x14ac:dyDescent="0.35">
      <c r="A4" t="s">
        <v>10</v>
      </c>
      <c r="B4">
        <v>22446472</v>
      </c>
      <c r="C4">
        <v>87578003</v>
      </c>
      <c r="D4" s="2">
        <f t="shared" si="0"/>
        <v>0.74369737569832461</v>
      </c>
      <c r="I4" s="5"/>
      <c r="J4" s="7"/>
    </row>
    <row r="5" spans="1:12" x14ac:dyDescent="0.35">
      <c r="A5" t="s">
        <v>11</v>
      </c>
      <c r="B5">
        <v>20981571.666666668</v>
      </c>
      <c r="C5">
        <v>70292009.333333343</v>
      </c>
      <c r="D5" s="2">
        <f t="shared" si="0"/>
        <v>0.70150843793396944</v>
      </c>
      <c r="I5" s="6"/>
      <c r="J5" s="8"/>
      <c r="K5" s="10"/>
      <c r="L5" s="10"/>
    </row>
    <row r="6" spans="1:12" x14ac:dyDescent="0.35">
      <c r="A6" t="s">
        <v>12</v>
      </c>
      <c r="B6">
        <v>21575648.999999996</v>
      </c>
      <c r="C6">
        <v>65128639</v>
      </c>
      <c r="D6" s="2">
        <f t="shared" si="0"/>
        <v>0.66872255690772231</v>
      </c>
      <c r="I6" s="1"/>
      <c r="J6" s="1"/>
    </row>
    <row r="7" spans="1:12" x14ac:dyDescent="0.35">
      <c r="A7" t="s">
        <v>13</v>
      </c>
      <c r="B7">
        <v>24481433</v>
      </c>
      <c r="C7">
        <v>74223589.170000002</v>
      </c>
      <c r="D7" s="2">
        <f t="shared" si="0"/>
        <v>0.67016640836475472</v>
      </c>
    </row>
    <row r="9" spans="1:12" x14ac:dyDescent="0.35">
      <c r="I9" s="2"/>
      <c r="J9" s="1"/>
    </row>
    <row r="10" spans="1:12" x14ac:dyDescent="0.35">
      <c r="I10" s="1"/>
      <c r="J10" s="1"/>
    </row>
    <row r="11" spans="1:12" x14ac:dyDescent="0.35">
      <c r="I11" s="1"/>
      <c r="J11" s="1"/>
    </row>
    <row r="12" spans="1:12" x14ac:dyDescent="0.35">
      <c r="I12" s="1"/>
      <c r="J12" s="1"/>
    </row>
    <row r="13" spans="1:12" x14ac:dyDescent="0.35">
      <c r="I13" s="1"/>
      <c r="J13" s="1"/>
    </row>
    <row r="14" spans="1:12" x14ac:dyDescent="0.35">
      <c r="I14" s="1"/>
      <c r="J14" s="1"/>
    </row>
    <row r="15" spans="1:12" x14ac:dyDescent="0.35">
      <c r="I15" s="1"/>
      <c r="J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6C1D-CCBC-4BF0-AA51-263FDCFF00F6}">
  <dimension ref="A1:H7"/>
  <sheetViews>
    <sheetView workbookViewId="0">
      <selection activeCell="F6" sqref="F6"/>
    </sheetView>
  </sheetViews>
  <sheetFormatPr defaultRowHeight="14.5" x14ac:dyDescent="0.35"/>
  <cols>
    <col min="2" max="2" width="9.90625" bestFit="1" customWidth="1"/>
    <col min="3" max="3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11385625</v>
      </c>
      <c r="C2" s="1">
        <v>29781142</v>
      </c>
      <c r="D2" s="2">
        <f>IFERROR(1-B2/C2,)</f>
        <v>0.6176901140997213</v>
      </c>
      <c r="E2" s="1">
        <v>247528</v>
      </c>
      <c r="F2" s="1">
        <v>159135</v>
      </c>
      <c r="G2" s="3">
        <f>IFERROR(B2/E2,)</f>
        <v>45.997321515141721</v>
      </c>
      <c r="H2" s="3">
        <f>IFERROR(B2/F2,)</f>
        <v>71.546956986206681</v>
      </c>
    </row>
    <row r="3" spans="1:8" x14ac:dyDescent="0.35">
      <c r="A3" t="s">
        <v>9</v>
      </c>
      <c r="B3" s="1">
        <v>9950178</v>
      </c>
      <c r="C3" s="1">
        <v>30661397</v>
      </c>
      <c r="D3" s="2">
        <f t="shared" ref="D3:D5" si="0">IFERROR(1-B3/C3,)</f>
        <v>0.67548190971207211</v>
      </c>
      <c r="E3" s="1">
        <v>287479</v>
      </c>
      <c r="F3" s="1">
        <v>168120</v>
      </c>
      <c r="G3" s="3">
        <f t="shared" ref="G3:G5" si="1">IFERROR(B3/E3,)</f>
        <v>34.611842952006931</v>
      </c>
      <c r="H3" s="3">
        <f t="shared" ref="H3:H5" si="2">IFERROR(B3/F3,)</f>
        <v>59.184975017844394</v>
      </c>
    </row>
    <row r="4" spans="1:8" x14ac:dyDescent="0.35">
      <c r="A4" t="s">
        <v>10</v>
      </c>
      <c r="B4" s="1">
        <v>8816923</v>
      </c>
      <c r="C4" s="1">
        <v>27484150</v>
      </c>
      <c r="D4" s="2">
        <f t="shared" si="0"/>
        <v>0.67919972056621725</v>
      </c>
      <c r="E4" s="1">
        <v>272961</v>
      </c>
      <c r="F4" s="1">
        <v>142162</v>
      </c>
      <c r="G4" s="3">
        <f t="shared" si="1"/>
        <v>32.301035679089686</v>
      </c>
      <c r="H4" s="3">
        <f t="shared" si="2"/>
        <v>62.020251544013171</v>
      </c>
    </row>
    <row r="5" spans="1:8" x14ac:dyDescent="0.35">
      <c r="A5" t="s">
        <v>11</v>
      </c>
      <c r="B5" s="1">
        <v>8548105</v>
      </c>
      <c r="C5" s="1">
        <v>24414330</v>
      </c>
      <c r="D5" s="2">
        <f t="shared" si="0"/>
        <v>0.64987345546652309</v>
      </c>
      <c r="E5" s="1">
        <v>236910</v>
      </c>
      <c r="F5" s="1">
        <v>136378</v>
      </c>
      <c r="G5" s="3">
        <f t="shared" si="1"/>
        <v>36.081655480984338</v>
      </c>
      <c r="H5" s="3">
        <f t="shared" si="2"/>
        <v>62.679501092551583</v>
      </c>
    </row>
    <row r="6" spans="1:8" x14ac:dyDescent="0.35">
      <c r="A6" t="s">
        <v>12</v>
      </c>
      <c r="B6" s="1">
        <v>7113673.666666667</v>
      </c>
      <c r="C6" s="1">
        <v>20015488.666666668</v>
      </c>
      <c r="D6" s="2">
        <v>0.64459155681201952</v>
      </c>
      <c r="E6" s="1">
        <v>209356.33333333334</v>
      </c>
      <c r="F6" s="1">
        <v>118740.66666666667</v>
      </c>
      <c r="G6" s="3">
        <f t="shared" ref="G6:G7" si="3">IFERROR(B6/E6,)</f>
        <v>33.978784178171509</v>
      </c>
      <c r="H6" s="3">
        <f t="shared" ref="H6:H7" si="4">IFERROR(B6/F6,)</f>
        <v>59.909329013929515</v>
      </c>
    </row>
    <row r="7" spans="1:8" x14ac:dyDescent="0.35">
      <c r="A7" t="s">
        <v>13</v>
      </c>
      <c r="B7" s="1">
        <v>8926903</v>
      </c>
      <c r="C7" s="1">
        <v>23335174.170000002</v>
      </c>
      <c r="D7" s="2">
        <v>0.64459155681201952</v>
      </c>
      <c r="E7" s="1">
        <v>195079</v>
      </c>
      <c r="F7" s="1">
        <v>131897</v>
      </c>
      <c r="G7" s="3">
        <f t="shared" si="3"/>
        <v>45.760450894253097</v>
      </c>
      <c r="H7" s="3">
        <f t="shared" si="4"/>
        <v>67.680864614054911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0C1A-8917-4C2A-88A6-06DD1C3DF39B}">
  <dimension ref="A1:L14"/>
  <sheetViews>
    <sheetView workbookViewId="0">
      <selection activeCell="F9" sqref="F9"/>
    </sheetView>
  </sheetViews>
  <sheetFormatPr defaultRowHeight="14.5" x14ac:dyDescent="0.35"/>
  <cols>
    <col min="2" max="3" width="12.453125" bestFit="1" customWidth="1"/>
    <col min="4" max="4" width="9.90625" bestFit="1" customWidth="1"/>
    <col min="6" max="6" width="18.7265625" customWidth="1"/>
    <col min="7" max="7" width="9.90625" bestFit="1" customWidth="1"/>
    <col min="8" max="8" width="7.54296875" customWidth="1"/>
    <col min="10" max="10" width="11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5">
      <c r="A2" t="s">
        <v>8</v>
      </c>
      <c r="B2" s="1">
        <v>8048147</v>
      </c>
      <c r="C2" s="1">
        <v>21606366</v>
      </c>
      <c r="D2" s="2">
        <f>IFERROR(1-B2/C2,)</f>
        <v>0.62751038281958205</v>
      </c>
      <c r="E2" s="1">
        <v>116513</v>
      </c>
      <c r="F2" s="1">
        <v>78355</v>
      </c>
      <c r="G2" s="3">
        <f>IFERROR(B2/E2,)</f>
        <v>69.075098916000783</v>
      </c>
      <c r="H2" s="3">
        <f>IFERROR(B2/F2,)</f>
        <v>102.71389190223981</v>
      </c>
    </row>
    <row r="3" spans="1:12" x14ac:dyDescent="0.35">
      <c r="A3" t="s">
        <v>9</v>
      </c>
      <c r="B3" s="1">
        <v>6925009</v>
      </c>
      <c r="C3" s="1">
        <v>20252592</v>
      </c>
      <c r="D3" s="2">
        <f t="shared" ref="D3:D7" si="0">IFERROR(1-B3/C3,)</f>
        <v>0.65806801420776173</v>
      </c>
      <c r="E3" s="1">
        <v>148945</v>
      </c>
      <c r="F3" s="1">
        <v>82175</v>
      </c>
      <c r="G3" s="3">
        <f t="shared" ref="G3:G5" si="1">IFERROR(B3/E3,)</f>
        <v>46.493732585853841</v>
      </c>
      <c r="H3" s="3">
        <f t="shared" ref="H3:H5" si="2">IFERROR(B3/F3,)</f>
        <v>84.271481594158814</v>
      </c>
    </row>
    <row r="4" spans="1:12" x14ac:dyDescent="0.35">
      <c r="A4" t="s">
        <v>10</v>
      </c>
      <c r="B4" s="1">
        <v>6734430</v>
      </c>
      <c r="C4" s="1">
        <v>21002006</v>
      </c>
      <c r="D4" s="2">
        <f t="shared" si="0"/>
        <v>0.67934348747448214</v>
      </c>
      <c r="E4" s="1">
        <v>162680</v>
      </c>
      <c r="F4" s="1">
        <v>89325</v>
      </c>
      <c r="G4" s="3">
        <f t="shared" si="1"/>
        <v>41.396791246619131</v>
      </c>
      <c r="H4" s="3">
        <f t="shared" si="2"/>
        <v>75.392443324937034</v>
      </c>
    </row>
    <row r="5" spans="1:12" x14ac:dyDescent="0.35">
      <c r="A5" t="s">
        <v>11</v>
      </c>
      <c r="B5" s="1">
        <v>6250954</v>
      </c>
      <c r="C5" s="1">
        <v>17222806</v>
      </c>
      <c r="D5" s="2">
        <f t="shared" si="0"/>
        <v>0.63705368335450108</v>
      </c>
      <c r="E5" s="1">
        <v>131378</v>
      </c>
      <c r="F5" s="1">
        <v>72324</v>
      </c>
      <c r="G5" s="3">
        <f t="shared" si="1"/>
        <v>47.579914445340926</v>
      </c>
      <c r="H5" s="3">
        <f t="shared" si="2"/>
        <v>86.429871135446049</v>
      </c>
    </row>
    <row r="6" spans="1:12" x14ac:dyDescent="0.35">
      <c r="A6" t="s">
        <v>12</v>
      </c>
      <c r="B6" s="1">
        <v>5159377.333333333</v>
      </c>
      <c r="C6" s="1">
        <v>13507883.333333334</v>
      </c>
      <c r="D6" s="2">
        <f t="shared" si="0"/>
        <v>0.61804694295800111</v>
      </c>
      <c r="E6" s="1">
        <v>118313.66666666667</v>
      </c>
      <c r="F6" s="1">
        <v>59829</v>
      </c>
      <c r="G6" s="3">
        <f t="shared" ref="G6" si="3">IFERROR(B6/E6,)</f>
        <v>43.60761929447429</v>
      </c>
      <c r="H6" s="3">
        <f t="shared" ref="H6" si="4">IFERROR(B6/F6,)</f>
        <v>86.235393092535944</v>
      </c>
    </row>
    <row r="7" spans="1:12" x14ac:dyDescent="0.35">
      <c r="A7" t="s">
        <v>13</v>
      </c>
      <c r="B7" s="1">
        <v>6000950</v>
      </c>
      <c r="C7" s="1">
        <v>14850434</v>
      </c>
      <c r="D7" s="2">
        <f t="shared" si="0"/>
        <v>0.59590743273900282</v>
      </c>
      <c r="E7" s="1">
        <v>88216</v>
      </c>
      <c r="F7">
        <v>60948</v>
      </c>
      <c r="G7" s="3">
        <f t="shared" ref="G7" si="5">IFERROR(B7/E7,)</f>
        <v>68.025641606964726</v>
      </c>
      <c r="H7" s="3">
        <f t="shared" ref="H7" si="6">IFERROR(B7/F7,)</f>
        <v>98.460162761698498</v>
      </c>
    </row>
    <row r="8" spans="1:12" x14ac:dyDescent="0.35">
      <c r="G8" s="1"/>
      <c r="H8" s="1"/>
    </row>
    <row r="11" spans="1:12" x14ac:dyDescent="0.35">
      <c r="B11" s="1"/>
      <c r="C11" s="1"/>
      <c r="D11" s="1"/>
      <c r="G11" s="10"/>
      <c r="H11" s="10"/>
      <c r="I11" s="2"/>
      <c r="J11" s="2"/>
      <c r="L11" s="8"/>
    </row>
    <row r="12" spans="1:12" x14ac:dyDescent="0.35">
      <c r="B12" s="1"/>
      <c r="C12" s="1"/>
      <c r="D12" s="1"/>
      <c r="G12" s="10"/>
      <c r="H12" s="10"/>
      <c r="I12" s="2"/>
      <c r="J12" s="2"/>
      <c r="L12" s="9"/>
    </row>
    <row r="13" spans="1:12" x14ac:dyDescent="0.35">
      <c r="B13" s="4"/>
      <c r="C13" s="4"/>
      <c r="D13" s="1"/>
      <c r="G13" s="10"/>
      <c r="H13" s="10"/>
      <c r="I13" s="2"/>
      <c r="J13" s="2"/>
      <c r="L13" s="9"/>
    </row>
    <row r="14" spans="1:12" x14ac:dyDescent="0.35">
      <c r="B14" s="1"/>
      <c r="C14" s="1"/>
      <c r="D14" s="1"/>
      <c r="G14" s="10"/>
      <c r="H14" s="10"/>
      <c r="I14" s="2"/>
      <c r="J14" s="2"/>
      <c r="L1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AD5E-B5CB-413A-ABB0-6907D8565D10}">
  <dimension ref="A1:H7"/>
  <sheetViews>
    <sheetView workbookViewId="0">
      <selection activeCell="F7" sqref="F7"/>
    </sheetView>
  </sheetViews>
  <sheetFormatPr defaultRowHeight="14.5" x14ac:dyDescent="0.35"/>
  <cols>
    <col min="2" max="2" width="8.90625" bestFit="1" customWidth="1"/>
    <col min="3" max="3" width="9.90625" bestFit="1" customWidth="1"/>
    <col min="4" max="4" width="8.90625" bestFit="1" customWidth="1"/>
    <col min="5" max="5" width="9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3337478</v>
      </c>
      <c r="C2" s="1">
        <v>8174776</v>
      </c>
      <c r="D2" s="2">
        <f>IFERROR(1-B2/C2,)</f>
        <v>0.59173462367653862</v>
      </c>
      <c r="E2" s="1">
        <v>131015</v>
      </c>
      <c r="F2" s="1">
        <v>80780</v>
      </c>
      <c r="G2" s="3">
        <f>IFERROR(B2/E2,)</f>
        <v>25.474014425829104</v>
      </c>
      <c r="H2" s="3">
        <f>IFERROR(B2/F2,)</f>
        <v>41.315647437484529</v>
      </c>
    </row>
    <row r="3" spans="1:8" x14ac:dyDescent="0.35">
      <c r="A3" t="s">
        <v>9</v>
      </c>
      <c r="B3" s="1">
        <v>3025169</v>
      </c>
      <c r="C3" s="1">
        <v>10408805</v>
      </c>
      <c r="D3" s="2">
        <f t="shared" ref="D3:D7" si="0">IFERROR(1-B3/C3,)</f>
        <v>0.70936442752073847</v>
      </c>
      <c r="E3" s="1">
        <v>138534</v>
      </c>
      <c r="F3" s="1">
        <v>85945</v>
      </c>
      <c r="G3" s="3">
        <f t="shared" ref="G3:G5" si="1">IFERROR(B3/E3,)</f>
        <v>21.837014740063811</v>
      </c>
      <c r="H3" s="3">
        <f t="shared" ref="H3:H5" si="2">IFERROR(B3/F3,)</f>
        <v>35.198894641922159</v>
      </c>
    </row>
    <row r="4" spans="1:8" x14ac:dyDescent="0.35">
      <c r="A4" t="s">
        <v>10</v>
      </c>
      <c r="B4" s="1">
        <v>2082493</v>
      </c>
      <c r="C4" s="1">
        <v>6482144</v>
      </c>
      <c r="D4" s="2">
        <f t="shared" si="0"/>
        <v>0.67873391890090684</v>
      </c>
      <c r="E4" s="1">
        <v>110281</v>
      </c>
      <c r="F4" s="1">
        <v>52837</v>
      </c>
      <c r="G4" s="3">
        <f t="shared" si="1"/>
        <v>18.883515746139409</v>
      </c>
      <c r="H4" s="3">
        <f t="shared" si="2"/>
        <v>39.413535969112552</v>
      </c>
    </row>
    <row r="5" spans="1:8" x14ac:dyDescent="0.35">
      <c r="A5" t="s">
        <v>11</v>
      </c>
      <c r="B5" s="1">
        <v>2297150</v>
      </c>
      <c r="C5" s="1">
        <v>7191524</v>
      </c>
      <c r="D5" s="2">
        <f t="shared" si="0"/>
        <v>0.68057535509858558</v>
      </c>
      <c r="E5" s="1">
        <v>105532</v>
      </c>
      <c r="F5" s="1">
        <v>64055</v>
      </c>
      <c r="G5" s="3">
        <f t="shared" si="1"/>
        <v>21.767331236023196</v>
      </c>
      <c r="H5" s="3">
        <f t="shared" si="2"/>
        <v>35.862149715088599</v>
      </c>
    </row>
    <row r="6" spans="1:8" x14ac:dyDescent="0.35">
      <c r="A6" t="s">
        <v>12</v>
      </c>
      <c r="B6" s="1">
        <v>1950089</v>
      </c>
      <c r="C6" s="1">
        <v>6595346</v>
      </c>
      <c r="D6" s="2">
        <f t="shared" si="0"/>
        <v>0.70432347294592279</v>
      </c>
      <c r="E6" s="1">
        <v>91042.666666666672</v>
      </c>
      <c r="F6" s="1">
        <v>58911.666666666664</v>
      </c>
      <c r="G6" s="3">
        <f t="shared" ref="G6" si="3">IFERROR(B6/E6,)</f>
        <v>21.419506604961775</v>
      </c>
      <c r="H6" s="3">
        <f t="shared" ref="H6" si="4">IFERROR(B6/F6,)</f>
        <v>33.101915296913461</v>
      </c>
    </row>
    <row r="7" spans="1:8" x14ac:dyDescent="0.35">
      <c r="A7" t="s">
        <v>13</v>
      </c>
      <c r="B7" s="1">
        <v>2925953</v>
      </c>
      <c r="C7" s="1">
        <v>8484740</v>
      </c>
      <c r="D7" s="2">
        <f t="shared" si="0"/>
        <v>0.65515113014659265</v>
      </c>
      <c r="E7" s="12">
        <v>106863</v>
      </c>
      <c r="F7" s="1">
        <v>70949</v>
      </c>
      <c r="G7" s="3">
        <f t="shared" ref="G7" si="5">IFERROR(B7/E7,)</f>
        <v>27.380412303603681</v>
      </c>
      <c r="H7" s="3">
        <f t="shared" ref="H7" si="6">IFERROR(B7/F7,)</f>
        <v>41.240228896813207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F3B8-A3DC-45F4-A95B-1BA7F1C29896}">
  <dimension ref="A1:H7"/>
  <sheetViews>
    <sheetView workbookViewId="0">
      <selection activeCell="B7" sqref="B7:C7"/>
    </sheetView>
  </sheetViews>
  <sheetFormatPr defaultRowHeight="14.5" x14ac:dyDescent="0.35"/>
  <cols>
    <col min="2" max="2" width="9.90625" bestFit="1" customWidth="1"/>
    <col min="3" max="4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12503340</v>
      </c>
      <c r="C2" s="4">
        <v>37899460.670000002</v>
      </c>
      <c r="D2" s="2">
        <f>IFERROR(1-B2/C2,0)</f>
        <v>0.67009187521506752</v>
      </c>
      <c r="E2" s="1">
        <v>307892</v>
      </c>
      <c r="F2">
        <v>153946</v>
      </c>
      <c r="G2" s="3">
        <f>IFERROR(B2/E2,)</f>
        <v>40.60949943486677</v>
      </c>
      <c r="H2" s="3">
        <f>IFERROR(B2/F2,0)</f>
        <v>81.218998869733539</v>
      </c>
    </row>
    <row r="3" spans="1:8" x14ac:dyDescent="0.35">
      <c r="A3" t="s">
        <v>9</v>
      </c>
      <c r="B3" s="1">
        <v>12455728</v>
      </c>
      <c r="C3" s="4">
        <v>37780820.670000002</v>
      </c>
      <c r="D3" s="2">
        <f>IFERROR(1-B3/C3,0)</f>
        <v>0.67031610803810526</v>
      </c>
      <c r="E3" s="1">
        <v>378168</v>
      </c>
      <c r="F3" s="1">
        <v>189161</v>
      </c>
      <c r="G3" s="3">
        <f t="shared" ref="G3:G5" si="0">IFERROR(B3/E3,)</f>
        <v>32.937022698906304</v>
      </c>
      <c r="H3" s="3">
        <f t="shared" ref="H3:H5" si="1">IFERROR(B3/F3,0)</f>
        <v>65.847230665940657</v>
      </c>
    </row>
    <row r="4" spans="1:8" x14ac:dyDescent="0.35">
      <c r="A4" t="s">
        <v>10</v>
      </c>
      <c r="B4" s="1">
        <v>10463250</v>
      </c>
      <c r="C4" s="4">
        <v>49571180</v>
      </c>
      <c r="D4" s="2">
        <f>IFERROR(1-B4/C4,0)</f>
        <v>0.78892473408944475</v>
      </c>
      <c r="E4" s="1">
        <v>361210</v>
      </c>
      <c r="F4" s="1">
        <v>158494</v>
      </c>
      <c r="G4" s="3">
        <f t="shared" si="0"/>
        <v>28.967221284017608</v>
      </c>
      <c r="H4" s="3">
        <f t="shared" si="1"/>
        <v>66.016694638282843</v>
      </c>
    </row>
    <row r="5" spans="1:8" x14ac:dyDescent="0.35">
      <c r="A5" t="s">
        <v>11</v>
      </c>
      <c r="B5" s="1">
        <v>9276290</v>
      </c>
      <c r="C5" s="4">
        <v>34572876</v>
      </c>
      <c r="D5" s="2">
        <f>IFERROR(1-B5/C5,0)</f>
        <v>0.73168879557488942</v>
      </c>
      <c r="E5" s="1">
        <v>264672</v>
      </c>
      <c r="F5" s="1">
        <v>162204</v>
      </c>
      <c r="G5" s="3">
        <f t="shared" si="0"/>
        <v>35.048248398017165</v>
      </c>
      <c r="H5" s="3">
        <f t="shared" si="1"/>
        <v>57.189033562674162</v>
      </c>
    </row>
    <row r="6" spans="1:8" x14ac:dyDescent="0.35">
      <c r="A6" t="s">
        <v>12</v>
      </c>
      <c r="B6" s="1">
        <v>10803366.666666666</v>
      </c>
      <c r="C6" s="1">
        <v>34557213.333333336</v>
      </c>
      <c r="D6" s="2">
        <f t="shared" ref="D6:D7" si="2">IFERROR(1-B6/C6,0)</f>
        <v>0.68737737726537373</v>
      </c>
      <c r="E6" s="1">
        <v>322469.33333333331</v>
      </c>
      <c r="F6" s="1">
        <v>199022.33333333334</v>
      </c>
      <c r="G6" s="3">
        <f t="shared" ref="G6:G7" si="3">IFERROR(B6/E6,)</f>
        <v>33.501997089128892</v>
      </c>
      <c r="H6" s="3">
        <f t="shared" ref="H6:H7" si="4">IFERROR(B6/F6,0)</f>
        <v>54.282182736610793</v>
      </c>
    </row>
    <row r="7" spans="1:8" x14ac:dyDescent="0.35">
      <c r="A7" t="s">
        <v>13</v>
      </c>
      <c r="B7" s="1">
        <v>10800195</v>
      </c>
      <c r="C7" s="1">
        <v>39703408</v>
      </c>
      <c r="D7" s="2">
        <f t="shared" si="2"/>
        <v>0.72797813729239569</v>
      </c>
      <c r="E7" s="1">
        <v>291573</v>
      </c>
      <c r="F7" s="1">
        <v>178667</v>
      </c>
      <c r="G7" s="3">
        <f t="shared" si="3"/>
        <v>37.041135496085026</v>
      </c>
      <c r="H7" s="3">
        <f t="shared" si="4"/>
        <v>60.448739834440609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5313-635C-4516-969C-7DEC0B477EC2}">
  <dimension ref="A1:N15"/>
  <sheetViews>
    <sheetView workbookViewId="0">
      <selection activeCell="B7" sqref="B7:C7"/>
    </sheetView>
  </sheetViews>
  <sheetFormatPr defaultRowHeight="14.5" x14ac:dyDescent="0.35"/>
  <cols>
    <col min="2" max="3" width="8.90625" bestFit="1" customWidth="1"/>
    <col min="12" max="13" width="9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</row>
    <row r="2" spans="1:14" x14ac:dyDescent="0.35">
      <c r="A2" t="s">
        <v>8</v>
      </c>
      <c r="B2" s="1">
        <v>4166382</v>
      </c>
      <c r="C2" s="1">
        <v>8563205.666666666</v>
      </c>
      <c r="D2" s="2">
        <f>1-B2/C2</f>
        <v>0.51345533878531546</v>
      </c>
      <c r="E2" s="11"/>
      <c r="F2" s="3"/>
    </row>
    <row r="3" spans="1:14" x14ac:dyDescent="0.35">
      <c r="A3" t="s">
        <v>9</v>
      </c>
      <c r="B3" s="1">
        <v>2830638.3333333335</v>
      </c>
      <c r="C3" s="1">
        <v>8672452.666666666</v>
      </c>
      <c r="D3" s="2">
        <f>1-B3/C3</f>
        <v>0.67360579041115543</v>
      </c>
      <c r="E3" s="11"/>
      <c r="F3" s="3"/>
    </row>
    <row r="4" spans="1:14" x14ac:dyDescent="0.35">
      <c r="A4" t="s">
        <v>10</v>
      </c>
      <c r="B4" s="1">
        <v>2278902</v>
      </c>
      <c r="C4" s="1">
        <v>7208672.666666667</v>
      </c>
      <c r="D4" s="2">
        <f>1-B4/C4</f>
        <v>0.68386662768892548</v>
      </c>
      <c r="E4" s="11"/>
      <c r="F4" s="3"/>
      <c r="M4" s="1"/>
      <c r="N4" s="1"/>
    </row>
    <row r="5" spans="1:14" x14ac:dyDescent="0.35">
      <c r="A5" t="s">
        <v>11</v>
      </c>
      <c r="B5" s="1">
        <v>2355087</v>
      </c>
      <c r="C5" s="1">
        <v>7819269.333333333</v>
      </c>
      <c r="D5" s="2">
        <f>1-B5/C5</f>
        <v>0.6988098376455294</v>
      </c>
      <c r="E5" s="11"/>
      <c r="F5" s="3"/>
      <c r="M5" s="1"/>
    </row>
    <row r="6" spans="1:14" x14ac:dyDescent="0.35">
      <c r="A6" t="s">
        <v>12</v>
      </c>
      <c r="B6" s="1">
        <v>2798581.3333333335</v>
      </c>
      <c r="C6" s="1">
        <v>8282686.666666667</v>
      </c>
      <c r="D6" s="2">
        <f t="shared" ref="D6:D7" si="0">1-B6/C6</f>
        <v>0.66211672058100302</v>
      </c>
      <c r="M6" s="1"/>
    </row>
    <row r="7" spans="1:14" x14ac:dyDescent="0.35">
      <c r="A7" t="s">
        <v>13</v>
      </c>
      <c r="B7" s="1">
        <v>3312566</v>
      </c>
      <c r="C7" s="1">
        <v>9575633</v>
      </c>
      <c r="D7" s="2">
        <f t="shared" si="0"/>
        <v>0.65406297421799686</v>
      </c>
      <c r="M7" s="1"/>
    </row>
    <row r="8" spans="1:14" x14ac:dyDescent="0.35">
      <c r="M8" s="1"/>
    </row>
    <row r="9" spans="1:14" x14ac:dyDescent="0.35">
      <c r="M9" s="1"/>
    </row>
    <row r="10" spans="1:14" x14ac:dyDescent="0.35">
      <c r="M10" s="1"/>
    </row>
    <row r="11" spans="1:14" x14ac:dyDescent="0.35">
      <c r="M11" s="1"/>
    </row>
    <row r="12" spans="1:14" x14ac:dyDescent="0.35">
      <c r="M12" s="1"/>
    </row>
    <row r="13" spans="1:14" x14ac:dyDescent="0.35">
      <c r="M13" s="1"/>
    </row>
    <row r="14" spans="1:14" x14ac:dyDescent="0.35">
      <c r="M14" s="1"/>
    </row>
    <row r="15" spans="1:14" x14ac:dyDescent="0.35">
      <c r="L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633C-9422-4872-865F-7200F0788355}">
  <dimension ref="A1:H7"/>
  <sheetViews>
    <sheetView workbookViewId="0">
      <selection activeCell="B7" sqref="B7:C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642224.33333333337</v>
      </c>
      <c r="C2">
        <v>2612271.3333333335</v>
      </c>
      <c r="D2" s="2">
        <f>IFERROR(1-B2/C2,)</f>
        <v>0.75415098533664315</v>
      </c>
      <c r="E2">
        <v>21599.666666666668</v>
      </c>
      <c r="F2">
        <v>15650.333333333334</v>
      </c>
      <c r="G2" s="3">
        <f>IFERROR(B2/E2,)</f>
        <v>29.73306686831587</v>
      </c>
      <c r="H2" s="3">
        <f>IFERROR(B2/F2,)</f>
        <v>41.035824583075971</v>
      </c>
    </row>
    <row r="3" spans="1:8" x14ac:dyDescent="0.35">
      <c r="A3" t="s">
        <v>9</v>
      </c>
      <c r="B3">
        <v>746322</v>
      </c>
      <c r="C3">
        <v>2321980.6666666665</v>
      </c>
      <c r="D3" s="2">
        <f t="shared" ref="D3:D7" si="0">IFERROR(1-B3/C3,)</f>
        <v>0.67858388714692142</v>
      </c>
      <c r="E3">
        <v>19604</v>
      </c>
      <c r="F3">
        <v>14003.333333333334</v>
      </c>
      <c r="G3" s="3">
        <f t="shared" ref="G3:G5" si="1">IFERROR(B3/E3,)</f>
        <v>38.069883697204652</v>
      </c>
      <c r="H3" s="3">
        <f t="shared" ref="H3:H5" si="2">IFERROR(B3/F3,)</f>
        <v>53.296024756010475</v>
      </c>
    </row>
    <row r="4" spans="1:8" x14ac:dyDescent="0.35">
      <c r="A4" t="s">
        <v>10</v>
      </c>
      <c r="B4">
        <v>887397</v>
      </c>
      <c r="C4">
        <v>3314000.3333333335</v>
      </c>
      <c r="D4" s="2">
        <f t="shared" si="0"/>
        <v>0.73222784829733978</v>
      </c>
      <c r="E4">
        <v>27567.666666666668</v>
      </c>
      <c r="F4">
        <v>18306</v>
      </c>
      <c r="G4" s="3">
        <f t="shared" si="1"/>
        <v>32.189775461591474</v>
      </c>
      <c r="H4" s="3">
        <f t="shared" si="2"/>
        <v>48.475745657161589</v>
      </c>
    </row>
    <row r="5" spans="1:8" x14ac:dyDescent="0.35">
      <c r="A5" t="s">
        <v>11</v>
      </c>
      <c r="B5">
        <v>802089.66666666663</v>
      </c>
      <c r="C5">
        <v>3485534</v>
      </c>
      <c r="D5" s="2">
        <f t="shared" si="0"/>
        <v>0.76988040665600543</v>
      </c>
      <c r="E5">
        <v>24847.666666666668</v>
      </c>
      <c r="F5">
        <v>17539.333333333332</v>
      </c>
      <c r="G5" s="3">
        <f t="shared" si="1"/>
        <v>32.28028117999007</v>
      </c>
      <c r="H5" s="3">
        <f t="shared" si="2"/>
        <v>45.730909574670264</v>
      </c>
    </row>
    <row r="6" spans="1:8" x14ac:dyDescent="0.35">
      <c r="A6" t="s">
        <v>12</v>
      </c>
      <c r="B6">
        <v>860027.33333333337</v>
      </c>
      <c r="C6">
        <v>2273250.3333333335</v>
      </c>
      <c r="D6" s="2">
        <f t="shared" si="0"/>
        <v>0.62167504356097458</v>
      </c>
      <c r="E6">
        <v>24020.333333333332</v>
      </c>
      <c r="F6">
        <v>20565.666666666668</v>
      </c>
      <c r="G6" s="3">
        <f t="shared" ref="G6" si="3">IFERROR(B6/E6,)</f>
        <v>35.804138160724946</v>
      </c>
      <c r="H6" s="3">
        <f t="shared" ref="H6" si="4">IFERROR(B6/F6,)</f>
        <v>41.818597338606416</v>
      </c>
    </row>
    <row r="7" spans="1:8" x14ac:dyDescent="0.35">
      <c r="A7" t="s">
        <v>13</v>
      </c>
      <c r="B7">
        <v>1441769</v>
      </c>
      <c r="C7">
        <v>1609374</v>
      </c>
      <c r="D7" s="2">
        <f t="shared" si="0"/>
        <v>0.10414297733155875</v>
      </c>
      <c r="E7">
        <v>47356</v>
      </c>
      <c r="F7">
        <v>34161</v>
      </c>
      <c r="G7" s="3">
        <f t="shared" ref="G7" si="5">IFERROR(B7/E7,)</f>
        <v>30.445328997381537</v>
      </c>
      <c r="H7" s="3">
        <f t="shared" ref="H7" si="6">IFERROR(B7/F7,)</f>
        <v>42.205116946225225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auto classified</vt:lpstr>
      <vt:lpstr>Enterprise(Bikes+Cars)</vt:lpstr>
      <vt:lpstr>Enterprise-Cars</vt:lpstr>
      <vt:lpstr>Enterprise-Bikes</vt:lpstr>
      <vt:lpstr>CPS</vt:lpstr>
      <vt:lpstr>NCBD</vt:lpstr>
      <vt:lpstr>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2026-06-15T04:17:16Z</dcterms:created>
  <dcterms:modified xsi:type="dcterms:W3CDTF">2026-08-05T09:22:44Z</dcterms:modified>
</cp:coreProperties>
</file>