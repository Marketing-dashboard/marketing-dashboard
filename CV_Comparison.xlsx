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Marketing_Performance_dashboard\"/>
    </mc:Choice>
  </mc:AlternateContent>
  <xr:revisionPtr revIDLastSave="0" documentId="13_ncr:1_{333D2778-02D8-472C-8220-E4C14AE37FC7}" xr6:coauthVersionLast="47" xr6:coauthVersionMax="47" xr10:uidLastSave="{00000000-0000-0000-0000-000000000000}"/>
  <bookViews>
    <workbookView xWindow="-110" yWindow="-110" windowWidth="19420" windowHeight="10420" xr2:uid="{2A06160F-D6CF-40AF-81FB-3972BB152925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2" i="4" l="1"/>
  <c r="BC2" i="4"/>
  <c r="BB2" i="4"/>
  <c r="BA2" i="4"/>
  <c r="AZ2" i="4"/>
  <c r="AV2" i="4"/>
  <c r="BI29" i="4"/>
  <c r="BH29" i="4"/>
  <c r="BK6" i="4"/>
  <c r="BK7" i="4"/>
  <c r="BK8" i="4"/>
  <c r="BK9" i="4"/>
  <c r="BK10" i="4"/>
  <c r="BK11" i="4"/>
  <c r="BK12" i="4"/>
  <c r="BK13" i="4"/>
  <c r="BK5" i="4"/>
  <c r="BJ6" i="4"/>
  <c r="BJ7" i="4"/>
  <c r="BJ8" i="4"/>
  <c r="BJ9" i="4"/>
  <c r="BJ10" i="4"/>
  <c r="BJ11" i="4"/>
  <c r="BJ12" i="4"/>
  <c r="BJ13" i="4"/>
  <c r="BJ5" i="4"/>
  <c r="BE30" i="4"/>
  <c r="BE31" i="4"/>
  <c r="BE29" i="4"/>
  <c r="BI6" i="4"/>
  <c r="BI7" i="4"/>
  <c r="BI8" i="4"/>
  <c r="BI9" i="4"/>
  <c r="BI10" i="4"/>
  <c r="BI11" i="4"/>
  <c r="BI12" i="4"/>
  <c r="BI13" i="4"/>
  <c r="BI5" i="4"/>
  <c r="BH6" i="4"/>
  <c r="BH7" i="4"/>
  <c r="BH8" i="4"/>
  <c r="BH9" i="4"/>
  <c r="BH10" i="4"/>
  <c r="BH11" i="4"/>
  <c r="BH12" i="4"/>
  <c r="BH13" i="4"/>
  <c r="BH5" i="4"/>
  <c r="BK26" i="4"/>
  <c r="BJ26" i="4"/>
  <c r="BF26" i="4"/>
  <c r="BE26" i="4"/>
  <c r="BI26" i="4"/>
  <c r="BH26" i="4"/>
  <c r="BG26" i="4"/>
  <c r="BD26" i="4"/>
  <c r="BC26" i="4"/>
  <c r="BB26" i="4"/>
  <c r="BK23" i="4"/>
  <c r="BK24" i="4"/>
  <c r="BK22" i="4"/>
  <c r="BJ23" i="4"/>
  <c r="BJ24" i="4"/>
  <c r="BJ22" i="4"/>
  <c r="AT21" i="4"/>
  <c r="AU25" i="4"/>
  <c r="AT25" i="4"/>
  <c r="AV25" i="4" s="1"/>
  <c r="AV22" i="4"/>
  <c r="AV23" i="4"/>
  <c r="AV21" i="4"/>
  <c r="AU22" i="4"/>
  <c r="AU23" i="4"/>
  <c r="AU21" i="4"/>
  <c r="AT22" i="4"/>
  <c r="AT23" i="4"/>
  <c r="AV18" i="4"/>
  <c r="AW18" i="4"/>
  <c r="AY18" i="4"/>
  <c r="BC18" i="4"/>
  <c r="BD18" i="4"/>
  <c r="BF18" i="4"/>
  <c r="BE18" i="4"/>
  <c r="BB18" i="4"/>
  <c r="BA18" i="4"/>
  <c r="AZ18" i="4"/>
  <c r="AX18" i="4"/>
  <c r="AU18" i="4"/>
  <c r="AT18" i="4"/>
  <c r="AS18" i="4"/>
  <c r="AV17" i="4"/>
  <c r="AW17" i="4"/>
  <c r="AY17" i="4"/>
  <c r="BC17" i="4"/>
  <c r="BD17" i="4"/>
  <c r="BF17" i="4"/>
  <c r="BE17" i="4"/>
  <c r="BB17" i="4"/>
  <c r="BA17" i="4"/>
  <c r="AZ17" i="4"/>
  <c r="AX17" i="4"/>
  <c r="AU17" i="4"/>
  <c r="AT17" i="4"/>
  <c r="AS17" i="4"/>
  <c r="BD16" i="4"/>
  <c r="BD13" i="4"/>
  <c r="BC16" i="4"/>
  <c r="AW16" i="4"/>
  <c r="AV16" i="4"/>
  <c r="AY16" i="4"/>
  <c r="BF16" i="4"/>
  <c r="BE16" i="4"/>
  <c r="BB16" i="4"/>
  <c r="BA16" i="4"/>
  <c r="AZ16" i="4"/>
  <c r="AX16" i="4"/>
  <c r="AU16" i="4"/>
  <c r="AT16" i="4"/>
  <c r="AS16" i="4"/>
  <c r="AW7" i="4"/>
  <c r="BD6" i="4"/>
  <c r="BD7" i="4"/>
  <c r="BD8" i="4"/>
  <c r="BD9" i="4"/>
  <c r="BD10" i="4"/>
  <c r="BD11" i="4"/>
  <c r="BD12" i="4"/>
  <c r="BD5" i="4"/>
  <c r="AW6" i="4"/>
  <c r="AW8" i="4"/>
  <c r="AW9" i="4"/>
  <c r="AW10" i="4"/>
  <c r="AW11" i="4"/>
  <c r="AW12" i="4"/>
  <c r="AW13" i="4"/>
  <c r="AW5" i="4"/>
  <c r="BC6" i="4"/>
  <c r="BC7" i="4"/>
  <c r="BC8" i="4"/>
  <c r="BC9" i="4"/>
  <c r="BC10" i="4"/>
  <c r="BC11" i="4"/>
  <c r="BC12" i="4"/>
  <c r="BC13" i="4"/>
  <c r="BC5" i="4"/>
  <c r="AZ6" i="4"/>
  <c r="BF6" i="4" s="1"/>
  <c r="AZ8" i="4"/>
  <c r="AZ12" i="4"/>
  <c r="BF12" i="4" s="1"/>
  <c r="AV6" i="4"/>
  <c r="AV7" i="4"/>
  <c r="AV8" i="4"/>
  <c r="AV9" i="4"/>
  <c r="AV10" i="4"/>
  <c r="AV11" i="4"/>
  <c r="AV12" i="4"/>
  <c r="AV13" i="4"/>
  <c r="AV5" i="4"/>
  <c r="BF7" i="4"/>
  <c r="BF9" i="4"/>
  <c r="BF10" i="4"/>
  <c r="BF11" i="4"/>
  <c r="BF5" i="4"/>
  <c r="AY6" i="4"/>
  <c r="AY7" i="4"/>
  <c r="AY8" i="4"/>
  <c r="AY9" i="4"/>
  <c r="AY10" i="4"/>
  <c r="AY11" i="4"/>
  <c r="AY12" i="4"/>
  <c r="AY13" i="4"/>
  <c r="AY5" i="4"/>
  <c r="BE8" i="4"/>
  <c r="BF8" i="4" l="1"/>
</calcChain>
</file>

<file path=xl/sharedStrings.xml><?xml version="1.0" encoding="utf-8"?>
<sst xmlns="http://schemas.openxmlformats.org/spreadsheetml/2006/main" count="217" uniqueCount="63">
  <si>
    <t>Spends</t>
  </si>
  <si>
    <t>Leads</t>
  </si>
  <si>
    <t>CPL</t>
  </si>
  <si>
    <t>Triggered Leads</t>
  </si>
  <si>
    <t>TCPL</t>
  </si>
  <si>
    <t>Margin</t>
  </si>
  <si>
    <t>Validation</t>
  </si>
  <si>
    <t>Brand</t>
  </si>
  <si>
    <t>Model</t>
  </si>
  <si>
    <t>BU</t>
  </si>
  <si>
    <t>Apr'26</t>
  </si>
  <si>
    <t>May'26</t>
  </si>
  <si>
    <t>Jun'26</t>
  </si>
  <si>
    <t>Trucks</t>
  </si>
  <si>
    <t>MS-Tractor_Farmtrac-100326</t>
  </si>
  <si>
    <t>FB</t>
  </si>
  <si>
    <t>MS-Tractor_Powertrac-160326</t>
  </si>
  <si>
    <t>Eicher</t>
  </si>
  <si>
    <t>Eicher LMD</t>
  </si>
  <si>
    <t>Mahindra CV (IA)</t>
  </si>
  <si>
    <t>Mahindra supro</t>
  </si>
  <si>
    <t>GA</t>
  </si>
  <si>
    <t>Mahindra CV (MRC)</t>
  </si>
  <si>
    <t>Mahindra A301 (UDO)</t>
  </si>
  <si>
    <t>Mahindra Bolero PikUp</t>
  </si>
  <si>
    <t>Mahindra E-Alfa Super</t>
  </si>
  <si>
    <t>Mahindra Jeeto</t>
  </si>
  <si>
    <t>Mahindra Treo</t>
  </si>
  <si>
    <t>Mahindra Treo Plus</t>
  </si>
  <si>
    <t>Mahindra Zeo</t>
  </si>
  <si>
    <t>Mahindra Zor Grand</t>
  </si>
  <si>
    <t>Mahindra-CV-DSA-All-Models</t>
  </si>
  <si>
    <t>Tata CV</t>
  </si>
  <si>
    <t>Tata Intra</t>
  </si>
  <si>
    <t>Tata Magic</t>
  </si>
  <si>
    <t>Tata-Start-Bus-Maxi-Cab</t>
  </si>
  <si>
    <t>Tata CV-Havas</t>
  </si>
  <si>
    <t>Tata Ace EV</t>
  </si>
  <si>
    <t>Tata Ace Pro</t>
  </si>
  <si>
    <t>Tata Ace Pro EV</t>
  </si>
  <si>
    <t>Jul'26</t>
  </si>
  <si>
    <t>Aug'26</t>
  </si>
  <si>
    <t>Enterprise</t>
  </si>
  <si>
    <t>CPS</t>
  </si>
  <si>
    <t>NCBD</t>
  </si>
  <si>
    <t>Spend</t>
  </si>
  <si>
    <t>Tleads</t>
  </si>
  <si>
    <t>Revenue</t>
  </si>
  <si>
    <t>Cars</t>
  </si>
  <si>
    <t>Bikes</t>
  </si>
  <si>
    <t>Jul</t>
  </si>
  <si>
    <t>Aug</t>
  </si>
  <si>
    <t>Sep</t>
  </si>
  <si>
    <t>Car</t>
  </si>
  <si>
    <t>Bike</t>
  </si>
  <si>
    <t>July</t>
  </si>
  <si>
    <t>Q2'27</t>
  </si>
  <si>
    <t>Trigger Leads</t>
  </si>
  <si>
    <t>spend</t>
  </si>
  <si>
    <t>rev</t>
  </si>
  <si>
    <t>leads</t>
  </si>
  <si>
    <t>tleads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</si>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</sst>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CC82-B786-4F88-BF54-40C3395F4A7F}">
  <dimension ref="A1:BN31"/>
  <sheetViews>
    <sheetView tabSelected="1" topLeftCell="BC1" workbookViewId="0">
      <selection activeCell="BK18" sqref="BK18"/>
    </sheetView>
  </sheetViews>
  <sheetFormatPr defaultRowHeight="14.5" x14ac:dyDescent="0.35"/>
  <cols>
    <col min="45" max="47" width="9.90625" bestFit="1" customWidth="1"/>
    <col min="50" max="50" width="9.90625" bestFit="1" customWidth="1"/>
    <col min="52" max="52" width="9.90625" bestFit="1" customWidth="1"/>
    <col min="54" max="54" width="10.81640625" bestFit="1" customWidth="1"/>
    <col min="56" max="56" width="11.81640625" bestFit="1" customWidth="1"/>
    <col min="57" max="57" width="9.90625" bestFit="1" customWidth="1"/>
    <col min="60" max="60" width="9.90625" bestFit="1" customWidth="1"/>
    <col min="61" max="61" width="11.36328125" bestFit="1" customWidth="1"/>
    <col min="62" max="62" width="8.81640625" bestFit="1" customWidth="1"/>
    <col min="63" max="63" width="9.453125" bestFit="1" customWidth="1"/>
  </cols>
  <sheetData>
    <row r="1" spans="1:66" x14ac:dyDescent="0.35">
      <c r="D1" s="3" t="s">
        <v>0</v>
      </c>
      <c r="E1" s="3"/>
      <c r="F1" s="3"/>
      <c r="G1" s="3"/>
      <c r="H1" s="3"/>
      <c r="I1" s="3" t="s">
        <v>1</v>
      </c>
      <c r="J1" s="3"/>
      <c r="K1" s="3"/>
      <c r="L1" s="3"/>
      <c r="M1" s="3"/>
      <c r="N1" s="3" t="s">
        <v>2</v>
      </c>
      <c r="O1" s="3"/>
      <c r="P1" s="3"/>
      <c r="Q1" s="3"/>
      <c r="R1" s="3"/>
      <c r="S1" s="3" t="s">
        <v>3</v>
      </c>
      <c r="T1" s="3"/>
      <c r="U1" s="3"/>
      <c r="V1" s="3"/>
      <c r="W1" s="3"/>
      <c r="X1" s="3" t="s">
        <v>4</v>
      </c>
      <c r="Y1" s="3"/>
      <c r="Z1" s="3"/>
      <c r="AA1" s="3"/>
      <c r="AB1" s="3"/>
      <c r="AC1" s="3" t="s">
        <v>5</v>
      </c>
      <c r="AD1" s="3"/>
      <c r="AE1" s="3"/>
      <c r="AF1" s="3"/>
      <c r="AG1" s="3"/>
      <c r="AH1" s="3" t="s">
        <v>6</v>
      </c>
      <c r="AI1" s="3"/>
      <c r="AJ1" s="3"/>
      <c r="AK1" s="3"/>
      <c r="AL1" s="3"/>
    </row>
    <row r="2" spans="1:6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40</v>
      </c>
      <c r="H2" t="s">
        <v>41</v>
      </c>
      <c r="I2" t="s">
        <v>10</v>
      </c>
      <c r="J2" t="s">
        <v>11</v>
      </c>
      <c r="K2" t="s">
        <v>12</v>
      </c>
      <c r="L2" t="s">
        <v>40</v>
      </c>
      <c r="M2" t="s">
        <v>41</v>
      </c>
      <c r="N2" t="s">
        <v>10</v>
      </c>
      <c r="O2" t="s">
        <v>11</v>
      </c>
      <c r="P2" t="s">
        <v>12</v>
      </c>
      <c r="Q2" t="s">
        <v>40</v>
      </c>
      <c r="R2" t="s">
        <v>41</v>
      </c>
      <c r="S2" s="1" t="s">
        <v>10</v>
      </c>
      <c r="T2" s="1" t="s">
        <v>11</v>
      </c>
      <c r="U2" s="1" t="s">
        <v>12</v>
      </c>
      <c r="V2" s="2" t="s">
        <v>40</v>
      </c>
      <c r="W2" s="2" t="s">
        <v>41</v>
      </c>
      <c r="X2" s="2" t="s">
        <v>10</v>
      </c>
      <c r="Y2" t="s">
        <v>11</v>
      </c>
      <c r="Z2" t="s">
        <v>12</v>
      </c>
      <c r="AA2" t="s">
        <v>40</v>
      </c>
      <c r="AB2" t="s">
        <v>41</v>
      </c>
      <c r="AC2" t="s">
        <v>10</v>
      </c>
      <c r="AD2" t="s">
        <v>11</v>
      </c>
      <c r="AE2" t="s">
        <v>12</v>
      </c>
      <c r="AF2" t="s">
        <v>40</v>
      </c>
      <c r="AG2" t="s">
        <v>41</v>
      </c>
      <c r="AH2" t="s">
        <v>10</v>
      </c>
      <c r="AI2" t="s">
        <v>11</v>
      </c>
      <c r="AJ2" t="s">
        <v>12</v>
      </c>
      <c r="AK2" t="s">
        <v>40</v>
      </c>
      <c r="AL2" t="s">
        <v>41</v>
      </c>
      <c r="AS2">
        <v>6777249</v>
      </c>
      <c r="AT2">
        <v>112238</v>
      </c>
      <c r="AU2">
        <v>60820</v>
      </c>
      <c r="AV2">
        <f>AS2/AU2</f>
        <v>111.43125616573495</v>
      </c>
      <c r="AX2">
        <v>20500000</v>
      </c>
      <c r="AZ2" s="4">
        <f>AVERAGE(AZ5,AZ8,AZ11)</f>
        <v>2771773</v>
      </c>
      <c r="BA2" s="4">
        <f>AVERAGE(BA5,BA8,BA11)</f>
        <v>109176.66666666667</v>
      </c>
      <c r="BB2" s="4">
        <f>AVERAGE(BB5,BB8,BB11)</f>
        <v>70864</v>
      </c>
      <c r="BC2">
        <f>AZ2/BA2</f>
        <v>25.387961408115284</v>
      </c>
      <c r="BD2">
        <f>AZ2/BB2</f>
        <v>39.113978889139759</v>
      </c>
    </row>
    <row r="3" spans="1:66" x14ac:dyDescent="0.35">
      <c r="A3" t="s">
        <v>13</v>
      </c>
      <c r="B3" t="s">
        <v>14</v>
      </c>
      <c r="C3" t="s">
        <v>15</v>
      </c>
      <c r="D3">
        <v>43411</v>
      </c>
      <c r="E3">
        <v>20722</v>
      </c>
      <c r="F3">
        <v>42267</v>
      </c>
      <c r="G3">
        <v>37710</v>
      </c>
      <c r="H3">
        <v>3725</v>
      </c>
      <c r="I3">
        <v>1621</v>
      </c>
      <c r="J3">
        <v>1074</v>
      </c>
      <c r="K3">
        <v>1203</v>
      </c>
      <c r="L3">
        <v>1036</v>
      </c>
      <c r="M3">
        <v>89</v>
      </c>
      <c r="N3">
        <v>27</v>
      </c>
      <c r="O3">
        <v>19</v>
      </c>
      <c r="P3">
        <v>35</v>
      </c>
      <c r="Q3">
        <v>36</v>
      </c>
      <c r="R3">
        <v>42</v>
      </c>
      <c r="S3" s="1">
        <v>639</v>
      </c>
      <c r="T3" s="1">
        <v>1500</v>
      </c>
      <c r="U3" s="1">
        <v>2230</v>
      </c>
      <c r="V3" s="2">
        <v>2102</v>
      </c>
      <c r="W3" s="2">
        <v>0</v>
      </c>
      <c r="X3" s="2">
        <v>68</v>
      </c>
      <c r="Y3" s="1">
        <v>14</v>
      </c>
      <c r="Z3" s="1">
        <v>19</v>
      </c>
      <c r="AA3" s="1">
        <v>18</v>
      </c>
      <c r="AB3" s="2">
        <v>0</v>
      </c>
      <c r="AC3" s="2">
        <v>0.77349999999999997</v>
      </c>
      <c r="AD3" s="2">
        <v>0.95399999999999996</v>
      </c>
      <c r="AE3" s="2">
        <v>0.93679999999999997</v>
      </c>
      <c r="AF3" s="1">
        <v>0.94020000000000004</v>
      </c>
      <c r="AG3" s="1">
        <v>0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S3" s="3" t="s">
        <v>48</v>
      </c>
      <c r="AT3" s="3"/>
      <c r="AU3" s="3"/>
      <c r="AV3" s="3"/>
      <c r="AW3" s="3"/>
      <c r="AX3" s="3"/>
      <c r="AY3" s="3"/>
      <c r="AZ3" s="3" t="s">
        <v>49</v>
      </c>
      <c r="BA3" s="3"/>
      <c r="BB3" s="3"/>
      <c r="BC3" s="3"/>
      <c r="BD3" s="3"/>
      <c r="BE3" s="3"/>
      <c r="BF3" s="3"/>
    </row>
    <row r="4" spans="1:66" x14ac:dyDescent="0.35">
      <c r="A4" t="s">
        <v>13</v>
      </c>
      <c r="B4" t="s">
        <v>16</v>
      </c>
      <c r="C4" t="s">
        <v>15</v>
      </c>
      <c r="D4">
        <v>14494</v>
      </c>
      <c r="E4">
        <v>21329</v>
      </c>
      <c r="F4">
        <v>49956</v>
      </c>
      <c r="G4">
        <v>37637</v>
      </c>
      <c r="H4">
        <v>3836</v>
      </c>
      <c r="I4">
        <v>600</v>
      </c>
      <c r="J4">
        <v>857</v>
      </c>
      <c r="K4">
        <v>1227</v>
      </c>
      <c r="L4">
        <v>1084</v>
      </c>
      <c r="M4">
        <v>111</v>
      </c>
      <c r="N4">
        <v>24</v>
      </c>
      <c r="O4">
        <v>25</v>
      </c>
      <c r="P4">
        <v>41</v>
      </c>
      <c r="Q4">
        <v>35</v>
      </c>
      <c r="R4">
        <v>35</v>
      </c>
      <c r="S4" s="1">
        <v>517</v>
      </c>
      <c r="T4" s="1">
        <v>1504</v>
      </c>
      <c r="U4" s="1">
        <v>2324</v>
      </c>
      <c r="V4" s="2">
        <v>2244</v>
      </c>
      <c r="W4" s="2">
        <v>0</v>
      </c>
      <c r="X4" s="2">
        <v>28</v>
      </c>
      <c r="Y4" s="1">
        <v>14</v>
      </c>
      <c r="Z4" s="1">
        <v>21</v>
      </c>
      <c r="AA4" s="1">
        <v>17</v>
      </c>
      <c r="AB4" s="2">
        <v>0</v>
      </c>
      <c r="AC4" s="2">
        <v>0.90659999999999996</v>
      </c>
      <c r="AD4" s="2">
        <v>0.95269999999999999</v>
      </c>
      <c r="AE4" s="2">
        <v>0.92830000000000001</v>
      </c>
      <c r="AF4" s="1">
        <v>0.94410000000000005</v>
      </c>
      <c r="AG4" s="1">
        <v>0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S4" t="s">
        <v>45</v>
      </c>
      <c r="AT4" t="s">
        <v>1</v>
      </c>
      <c r="AU4" t="s">
        <v>46</v>
      </c>
      <c r="AV4" t="s">
        <v>2</v>
      </c>
      <c r="AW4" t="s">
        <v>4</v>
      </c>
      <c r="AX4" t="s">
        <v>47</v>
      </c>
      <c r="AY4" t="s">
        <v>5</v>
      </c>
      <c r="AZ4" t="s">
        <v>45</v>
      </c>
      <c r="BA4" t="s">
        <v>1</v>
      </c>
      <c r="BB4" t="s">
        <v>46</v>
      </c>
      <c r="BC4" t="s">
        <v>2</v>
      </c>
      <c r="BD4" t="s">
        <v>4</v>
      </c>
      <c r="BE4" t="s">
        <v>47</v>
      </c>
      <c r="BF4" t="s">
        <v>5</v>
      </c>
      <c r="BH4" t="s">
        <v>58</v>
      </c>
      <c r="BI4" t="s">
        <v>59</v>
      </c>
      <c r="BJ4" t="s">
        <v>60</v>
      </c>
      <c r="BK4" t="s">
        <v>61</v>
      </c>
    </row>
    <row r="5" spans="1:66" x14ac:dyDescent="0.35">
      <c r="A5" t="s">
        <v>17</v>
      </c>
      <c r="B5" t="s">
        <v>18</v>
      </c>
      <c r="C5" t="s">
        <v>15</v>
      </c>
      <c r="D5">
        <v>1378</v>
      </c>
      <c r="E5">
        <v>0</v>
      </c>
      <c r="F5">
        <v>0</v>
      </c>
      <c r="G5">
        <v>0</v>
      </c>
      <c r="H5">
        <v>0</v>
      </c>
      <c r="I5">
        <v>171</v>
      </c>
      <c r="J5">
        <v>0</v>
      </c>
      <c r="K5">
        <v>0</v>
      </c>
      <c r="L5">
        <v>0</v>
      </c>
      <c r="M5">
        <v>0</v>
      </c>
      <c r="N5">
        <v>8</v>
      </c>
      <c r="O5">
        <v>0</v>
      </c>
      <c r="P5">
        <v>0</v>
      </c>
      <c r="Q5">
        <v>0</v>
      </c>
      <c r="R5">
        <v>0</v>
      </c>
      <c r="S5" s="1">
        <v>122</v>
      </c>
      <c r="T5" s="1">
        <v>0</v>
      </c>
      <c r="U5" s="1">
        <v>0</v>
      </c>
      <c r="V5" s="2">
        <v>0</v>
      </c>
      <c r="W5" s="2">
        <v>0</v>
      </c>
      <c r="X5" s="2">
        <v>11</v>
      </c>
      <c r="Y5" s="1">
        <v>0</v>
      </c>
      <c r="Z5" s="1">
        <v>0</v>
      </c>
      <c r="AA5" s="1">
        <v>0</v>
      </c>
      <c r="AB5" s="2">
        <v>0</v>
      </c>
      <c r="AC5" s="2">
        <v>0.84940000000000004</v>
      </c>
      <c r="AD5" s="2">
        <v>0</v>
      </c>
      <c r="AE5" s="2">
        <v>0</v>
      </c>
      <c r="AF5" s="1">
        <v>0</v>
      </c>
      <c r="AG5" s="1">
        <v>0</v>
      </c>
      <c r="AH5" s="2">
        <v>0.25</v>
      </c>
      <c r="AI5" s="2">
        <v>0.25</v>
      </c>
      <c r="AJ5" s="2">
        <v>0.25</v>
      </c>
      <c r="AK5" s="2">
        <v>0.25</v>
      </c>
      <c r="AL5" s="2">
        <v>0.25</v>
      </c>
      <c r="AQ5" s="3" t="s">
        <v>50</v>
      </c>
      <c r="AR5" t="s">
        <v>42</v>
      </c>
      <c r="AS5" s="4">
        <v>6000949</v>
      </c>
      <c r="AT5" s="4">
        <v>88215</v>
      </c>
      <c r="AU5" s="4">
        <v>60948</v>
      </c>
      <c r="AV5">
        <f>AS5/AT5</f>
        <v>68.026401405656628</v>
      </c>
      <c r="AW5">
        <f>AS5/AU5</f>
        <v>98.460146354269213</v>
      </c>
      <c r="AX5" s="4">
        <v>14850434</v>
      </c>
      <c r="AY5" s="5">
        <f>1-AS5/AX5</f>
        <v>0.59590750007710214</v>
      </c>
      <c r="AZ5" s="4">
        <v>2925953</v>
      </c>
      <c r="BA5" s="4">
        <v>106863</v>
      </c>
      <c r="BB5" s="4">
        <v>70949</v>
      </c>
      <c r="BC5">
        <f>AZ5/BA5</f>
        <v>27.380412303603681</v>
      </c>
      <c r="BD5">
        <f>AZ5/BB5</f>
        <v>41.240228896813207</v>
      </c>
      <c r="BE5" s="4">
        <v>7549566</v>
      </c>
      <c r="BF5" s="5">
        <f>1-AZ5/BE5</f>
        <v>0.61243427767900838</v>
      </c>
      <c r="BG5" t="s">
        <v>42</v>
      </c>
      <c r="BH5" s="4">
        <f>AZ5+AS5</f>
        <v>8926902</v>
      </c>
      <c r="BI5" s="4">
        <f>BE5+AX5</f>
        <v>22400000</v>
      </c>
      <c r="BJ5" s="4">
        <f>BA5+AT5</f>
        <v>195078</v>
      </c>
      <c r="BK5" s="4">
        <f>BB5+AU5</f>
        <v>131897</v>
      </c>
    </row>
    <row r="6" spans="1:66" x14ac:dyDescent="0.35">
      <c r="A6" t="s">
        <v>19</v>
      </c>
      <c r="B6" t="s">
        <v>20</v>
      </c>
      <c r="C6" t="s">
        <v>21</v>
      </c>
      <c r="D6">
        <v>15321</v>
      </c>
      <c r="E6">
        <v>41087</v>
      </c>
      <c r="F6">
        <v>2044</v>
      </c>
      <c r="G6">
        <v>5164</v>
      </c>
      <c r="H6">
        <v>0</v>
      </c>
      <c r="I6">
        <v>649</v>
      </c>
      <c r="J6">
        <v>1195</v>
      </c>
      <c r="K6">
        <v>92</v>
      </c>
      <c r="L6">
        <v>58</v>
      </c>
      <c r="M6">
        <v>0</v>
      </c>
      <c r="N6">
        <v>24</v>
      </c>
      <c r="O6">
        <v>34</v>
      </c>
      <c r="P6">
        <v>22</v>
      </c>
      <c r="Q6">
        <v>89</v>
      </c>
      <c r="R6">
        <v>0</v>
      </c>
      <c r="S6" s="1">
        <v>426</v>
      </c>
      <c r="T6" s="1">
        <v>820</v>
      </c>
      <c r="U6" s="1">
        <v>15</v>
      </c>
      <c r="V6" s="2">
        <v>54</v>
      </c>
      <c r="W6" s="2">
        <v>0</v>
      </c>
      <c r="X6" s="2">
        <v>36</v>
      </c>
      <c r="Y6" s="1">
        <v>50</v>
      </c>
      <c r="Z6" s="1">
        <v>136</v>
      </c>
      <c r="AA6" s="1">
        <v>96</v>
      </c>
      <c r="AB6" s="2">
        <v>0</v>
      </c>
      <c r="AC6" s="2">
        <v>0.33400000000000002</v>
      </c>
      <c r="AD6" s="2">
        <v>0.25769999999999998</v>
      </c>
      <c r="AE6" s="2">
        <v>-1.0189999999999999</v>
      </c>
      <c r="AF6" s="1">
        <v>-1.0246999999999999</v>
      </c>
      <c r="AG6" s="1">
        <v>0</v>
      </c>
      <c r="AH6" s="2">
        <v>0.12</v>
      </c>
      <c r="AI6" s="2">
        <v>0.15</v>
      </c>
      <c r="AJ6" s="2">
        <v>0.15</v>
      </c>
      <c r="AK6" s="2">
        <v>0.17</v>
      </c>
      <c r="AL6" s="2">
        <v>0.17</v>
      </c>
      <c r="AQ6" s="3"/>
      <c r="AR6" t="s">
        <v>43</v>
      </c>
      <c r="AS6" s="4">
        <v>683700</v>
      </c>
      <c r="AT6" s="4">
        <v>16228</v>
      </c>
      <c r="AU6">
        <v>5779</v>
      </c>
      <c r="AV6">
        <f t="shared" ref="AV6:AV13" si="0">AS6/AT6</f>
        <v>42.130884890313041</v>
      </c>
      <c r="AW6">
        <f t="shared" ref="AW6:AW13" si="1">AS6/AU6</f>
        <v>118.30766568610487</v>
      </c>
      <c r="AX6" s="4">
        <v>2504000</v>
      </c>
      <c r="AY6" s="5">
        <f>1-AS6/AX6</f>
        <v>0.72695686900958467</v>
      </c>
      <c r="AZ6" s="4">
        <f>9974344+142771</f>
        <v>10117115</v>
      </c>
      <c r="BA6">
        <v>352904</v>
      </c>
      <c r="BB6">
        <v>213026</v>
      </c>
      <c r="BC6">
        <f t="shared" ref="BC6:BD13" si="2">AZ6/BA6</f>
        <v>28.668178881508851</v>
      </c>
      <c r="BD6">
        <f t="shared" ref="BD6:BD13" si="3">AZ6/BB6</f>
        <v>47.492395294471095</v>
      </c>
      <c r="BE6">
        <v>37199408</v>
      </c>
      <c r="BF6" s="5">
        <f t="shared" ref="BF6:BF12" si="4">1-AZ6/BE6</f>
        <v>0.72803021488944131</v>
      </c>
      <c r="BG6" t="s">
        <v>43</v>
      </c>
      <c r="BH6" s="4">
        <f t="shared" ref="BH6:BH13" si="5">AZ6+AS6</f>
        <v>10800815</v>
      </c>
      <c r="BI6" s="4">
        <f t="shared" ref="BI6:BI13" si="6">BE6+AX6</f>
        <v>39703408</v>
      </c>
      <c r="BJ6" s="4">
        <f t="shared" ref="BJ6:BJ13" si="7">BA6+AT6</f>
        <v>369132</v>
      </c>
      <c r="BK6" s="4">
        <f t="shared" ref="BK6:BK13" si="8">BB6+AU6</f>
        <v>218805</v>
      </c>
    </row>
    <row r="7" spans="1:66" x14ac:dyDescent="0.35">
      <c r="A7" t="s">
        <v>22</v>
      </c>
      <c r="B7" t="s">
        <v>23</v>
      </c>
      <c r="C7" t="s">
        <v>15</v>
      </c>
      <c r="D7">
        <v>10225</v>
      </c>
      <c r="E7">
        <v>23339</v>
      </c>
      <c r="F7">
        <v>29834</v>
      </c>
      <c r="G7">
        <v>40242</v>
      </c>
      <c r="H7">
        <v>1802</v>
      </c>
      <c r="I7">
        <v>419</v>
      </c>
      <c r="J7">
        <v>667</v>
      </c>
      <c r="K7">
        <v>646</v>
      </c>
      <c r="L7">
        <v>898</v>
      </c>
      <c r="M7">
        <v>60</v>
      </c>
      <c r="N7">
        <v>24</v>
      </c>
      <c r="O7">
        <v>35</v>
      </c>
      <c r="P7">
        <v>46</v>
      </c>
      <c r="Q7">
        <v>45</v>
      </c>
      <c r="R7">
        <v>30</v>
      </c>
      <c r="S7" s="1">
        <v>332</v>
      </c>
      <c r="T7" s="1">
        <v>497</v>
      </c>
      <c r="U7" s="1">
        <v>516</v>
      </c>
      <c r="V7" s="2">
        <v>646</v>
      </c>
      <c r="W7" s="2">
        <v>29</v>
      </c>
      <c r="X7" s="2">
        <v>31</v>
      </c>
      <c r="Y7" s="1">
        <v>47</v>
      </c>
      <c r="Z7" s="1">
        <v>58</v>
      </c>
      <c r="AA7" s="1">
        <v>62</v>
      </c>
      <c r="AB7" s="2">
        <v>62</v>
      </c>
      <c r="AC7" s="2">
        <v>-9.6799999999999997E-2</v>
      </c>
      <c r="AD7" s="2">
        <v>0.43290000000000001</v>
      </c>
      <c r="AE7" s="2">
        <v>0.30170000000000002</v>
      </c>
      <c r="AF7" s="1">
        <v>-0.23599999999999999</v>
      </c>
      <c r="AG7" s="1">
        <v>-0.23280000000000001</v>
      </c>
      <c r="AH7" s="2">
        <v>0.08</v>
      </c>
      <c r="AI7" s="2">
        <v>0.23</v>
      </c>
      <c r="AJ7" s="2">
        <v>0.23</v>
      </c>
      <c r="AK7" s="2">
        <v>0.14000000000000001</v>
      </c>
      <c r="AL7" s="2">
        <v>0.14000000000000001</v>
      </c>
      <c r="AQ7" s="3"/>
      <c r="AR7" t="s">
        <v>44</v>
      </c>
      <c r="AS7" s="4">
        <v>3312566</v>
      </c>
      <c r="AT7" s="4">
        <v>120078</v>
      </c>
      <c r="AU7" s="4">
        <v>56760</v>
      </c>
      <c r="AV7">
        <f t="shared" si="0"/>
        <v>27.586785256250103</v>
      </c>
      <c r="AW7">
        <f t="shared" si="1"/>
        <v>58.36092318534179</v>
      </c>
      <c r="AX7" s="4">
        <v>9575633</v>
      </c>
      <c r="AY7" s="5">
        <f>1-AS7/AX7</f>
        <v>0.65406297421799686</v>
      </c>
      <c r="AZ7">
        <v>0</v>
      </c>
      <c r="BA7">
        <v>0</v>
      </c>
      <c r="BC7" t="e">
        <f t="shared" si="2"/>
        <v>#DIV/0!</v>
      </c>
      <c r="BD7" t="e">
        <f t="shared" si="3"/>
        <v>#DIV/0!</v>
      </c>
      <c r="BF7" s="5" t="e">
        <f t="shared" si="4"/>
        <v>#DIV/0!</v>
      </c>
      <c r="BG7" t="s">
        <v>44</v>
      </c>
      <c r="BH7" s="4">
        <f t="shared" si="5"/>
        <v>3312566</v>
      </c>
      <c r="BI7" s="4">
        <f t="shared" si="6"/>
        <v>9575633</v>
      </c>
      <c r="BJ7" s="4">
        <f t="shared" si="7"/>
        <v>120078</v>
      </c>
      <c r="BK7" s="4">
        <f t="shared" si="8"/>
        <v>56760</v>
      </c>
    </row>
    <row r="8" spans="1:66" x14ac:dyDescent="0.35">
      <c r="A8" t="s">
        <v>22</v>
      </c>
      <c r="B8" t="s">
        <v>23</v>
      </c>
      <c r="C8" t="s">
        <v>21</v>
      </c>
      <c r="D8">
        <v>22455</v>
      </c>
      <c r="E8">
        <v>50846</v>
      </c>
      <c r="F8">
        <v>63885</v>
      </c>
      <c r="G8">
        <v>69016</v>
      </c>
      <c r="H8">
        <v>6478</v>
      </c>
      <c r="I8">
        <v>1423</v>
      </c>
      <c r="J8">
        <v>2182</v>
      </c>
      <c r="K8">
        <v>3710</v>
      </c>
      <c r="L8">
        <v>898</v>
      </c>
      <c r="M8">
        <v>60</v>
      </c>
      <c r="N8">
        <v>16</v>
      </c>
      <c r="O8">
        <v>23</v>
      </c>
      <c r="P8">
        <v>17</v>
      </c>
      <c r="Q8">
        <v>77</v>
      </c>
      <c r="R8">
        <v>108</v>
      </c>
      <c r="S8" s="1">
        <v>461</v>
      </c>
      <c r="T8" s="1">
        <v>882</v>
      </c>
      <c r="U8" s="1">
        <v>1298</v>
      </c>
      <c r="V8" s="2">
        <v>646</v>
      </c>
      <c r="W8" s="2">
        <v>29</v>
      </c>
      <c r="X8" s="2">
        <v>49</v>
      </c>
      <c r="Y8" s="1">
        <v>58</v>
      </c>
      <c r="Z8" s="1">
        <v>49</v>
      </c>
      <c r="AA8" s="1">
        <v>107</v>
      </c>
      <c r="AB8" s="2">
        <v>223</v>
      </c>
      <c r="AC8" s="2">
        <v>-1.6020000000000001</v>
      </c>
      <c r="AD8" s="2">
        <v>-0.33450000000000002</v>
      </c>
      <c r="AE8" s="2">
        <v>-0.51910000000000001</v>
      </c>
      <c r="AF8" s="1">
        <v>-0.23599999999999999</v>
      </c>
      <c r="AG8" s="1">
        <v>-0.23280000000000001</v>
      </c>
      <c r="AH8" s="2">
        <v>0.05</v>
      </c>
      <c r="AI8" s="2">
        <v>0.12</v>
      </c>
      <c r="AJ8" s="2">
        <v>0.09</v>
      </c>
      <c r="AK8" s="2">
        <v>0.14000000000000001</v>
      </c>
      <c r="AL8" s="2">
        <v>0.14000000000000001</v>
      </c>
      <c r="AQ8" s="3" t="s">
        <v>51</v>
      </c>
      <c r="AR8" t="s">
        <v>42</v>
      </c>
      <c r="AS8" s="4">
        <v>7459594</v>
      </c>
      <c r="AT8" s="4">
        <v>132358</v>
      </c>
      <c r="AU8" s="4">
        <v>63785</v>
      </c>
      <c r="AV8">
        <f t="shared" si="0"/>
        <v>56.359222714154036</v>
      </c>
      <c r="AW8">
        <f t="shared" si="1"/>
        <v>116.94903190405267</v>
      </c>
      <c r="AX8" s="4">
        <v>15591320</v>
      </c>
      <c r="AY8" s="5">
        <f>1-AS8/AX8</f>
        <v>0.52155468555580931</v>
      </c>
      <c r="AZ8" s="4">
        <f>1630221+215266</f>
        <v>1845487</v>
      </c>
      <c r="BA8" s="4">
        <v>72196</v>
      </c>
      <c r="BB8" s="4">
        <v>43115</v>
      </c>
      <c r="BC8">
        <f t="shared" si="2"/>
        <v>25.562177959997783</v>
      </c>
      <c r="BD8">
        <f t="shared" si="3"/>
        <v>42.803826974370871</v>
      </c>
      <c r="BE8" s="4">
        <f>AX2-AX8</f>
        <v>4908680</v>
      </c>
      <c r="BF8" s="5">
        <f t="shared" si="4"/>
        <v>0.62403599338314986</v>
      </c>
      <c r="BG8" t="s">
        <v>42</v>
      </c>
      <c r="BH8" s="4">
        <f t="shared" si="5"/>
        <v>9305081</v>
      </c>
      <c r="BI8" s="4">
        <f t="shared" si="6"/>
        <v>20500000</v>
      </c>
      <c r="BJ8" s="4">
        <f t="shared" si="7"/>
        <v>204554</v>
      </c>
      <c r="BK8" s="4">
        <f t="shared" si="8"/>
        <v>106900</v>
      </c>
    </row>
    <row r="9" spans="1:66" x14ac:dyDescent="0.35">
      <c r="A9" t="s">
        <v>22</v>
      </c>
      <c r="B9" t="s">
        <v>24</v>
      </c>
      <c r="C9" t="s">
        <v>15</v>
      </c>
      <c r="D9">
        <v>0</v>
      </c>
      <c r="E9">
        <v>0</v>
      </c>
      <c r="F9">
        <v>4808</v>
      </c>
      <c r="G9">
        <v>0</v>
      </c>
      <c r="H9">
        <v>0</v>
      </c>
      <c r="I9">
        <v>0</v>
      </c>
      <c r="J9">
        <v>0</v>
      </c>
      <c r="K9">
        <v>565</v>
      </c>
      <c r="L9">
        <v>0</v>
      </c>
      <c r="M9">
        <v>0</v>
      </c>
      <c r="N9">
        <v>0</v>
      </c>
      <c r="O9">
        <v>0</v>
      </c>
      <c r="P9">
        <v>9</v>
      </c>
      <c r="Q9">
        <v>0</v>
      </c>
      <c r="R9">
        <v>0</v>
      </c>
      <c r="S9" s="1">
        <v>0</v>
      </c>
      <c r="T9" s="1">
        <v>0</v>
      </c>
      <c r="U9" s="1">
        <v>469</v>
      </c>
      <c r="V9" s="2">
        <v>0</v>
      </c>
      <c r="W9" s="2">
        <v>0</v>
      </c>
      <c r="X9" s="2">
        <v>0</v>
      </c>
      <c r="Y9" s="1">
        <v>0</v>
      </c>
      <c r="Z9" s="1">
        <v>10</v>
      </c>
      <c r="AA9" s="1">
        <v>0</v>
      </c>
      <c r="AB9" s="2">
        <v>0</v>
      </c>
      <c r="AC9" s="2">
        <v>0</v>
      </c>
      <c r="AD9" s="2">
        <v>0</v>
      </c>
      <c r="AE9" s="2">
        <v>0.90090000000000003</v>
      </c>
      <c r="AF9" s="1">
        <v>0</v>
      </c>
      <c r="AG9" s="1">
        <v>0</v>
      </c>
      <c r="AH9" s="2">
        <v>0</v>
      </c>
      <c r="AI9" s="2">
        <v>0</v>
      </c>
      <c r="AJ9" s="2">
        <v>0.23</v>
      </c>
      <c r="AK9" s="2">
        <v>0.23</v>
      </c>
      <c r="AL9" s="2">
        <v>0.23</v>
      </c>
      <c r="AQ9" s="3"/>
      <c r="AR9" t="s">
        <v>43</v>
      </c>
      <c r="AS9" s="4">
        <v>701311</v>
      </c>
      <c r="AT9" s="4">
        <v>17282</v>
      </c>
      <c r="AU9">
        <v>8594</v>
      </c>
      <c r="AV9">
        <f t="shared" si="0"/>
        <v>40.580430505728501</v>
      </c>
      <c r="AW9">
        <f t="shared" si="1"/>
        <v>81.604724226204326</v>
      </c>
      <c r="AX9" s="4">
        <v>2392000</v>
      </c>
      <c r="AY9" s="5">
        <f>1-AS9/AX9</f>
        <v>0.70680978260869565</v>
      </c>
      <c r="AZ9" s="4">
        <v>11670404</v>
      </c>
      <c r="BA9">
        <v>279941</v>
      </c>
      <c r="BB9">
        <v>275758</v>
      </c>
      <c r="BC9">
        <f t="shared" si="2"/>
        <v>41.688798711156991</v>
      </c>
      <c r="BD9">
        <f t="shared" si="3"/>
        <v>42.321180165217328</v>
      </c>
      <c r="BE9">
        <v>43138426</v>
      </c>
      <c r="BF9" s="5">
        <f t="shared" si="4"/>
        <v>0.7294661608654891</v>
      </c>
      <c r="BG9" t="s">
        <v>43</v>
      </c>
      <c r="BH9" s="4">
        <f t="shared" si="5"/>
        <v>12371715</v>
      </c>
      <c r="BI9" s="4">
        <f t="shared" si="6"/>
        <v>45530426</v>
      </c>
      <c r="BJ9" s="4">
        <f t="shared" si="7"/>
        <v>297223</v>
      </c>
      <c r="BK9" s="4">
        <f t="shared" si="8"/>
        <v>284352</v>
      </c>
    </row>
    <row r="10" spans="1:66" x14ac:dyDescent="0.35">
      <c r="A10" t="s">
        <v>22</v>
      </c>
      <c r="B10" t="s">
        <v>24</v>
      </c>
      <c r="C10" t="s">
        <v>21</v>
      </c>
      <c r="D10">
        <v>0</v>
      </c>
      <c r="E10">
        <v>0</v>
      </c>
      <c r="F10">
        <v>19348</v>
      </c>
      <c r="G10">
        <v>0</v>
      </c>
      <c r="H10">
        <v>0</v>
      </c>
      <c r="I10">
        <v>0</v>
      </c>
      <c r="J10">
        <v>0</v>
      </c>
      <c r="K10">
        <v>865</v>
      </c>
      <c r="L10">
        <v>0</v>
      </c>
      <c r="M10">
        <v>0</v>
      </c>
      <c r="N10">
        <v>0</v>
      </c>
      <c r="O10">
        <v>0</v>
      </c>
      <c r="P10">
        <v>22</v>
      </c>
      <c r="Q10">
        <v>0</v>
      </c>
      <c r="R10">
        <v>0</v>
      </c>
      <c r="S10" s="1">
        <v>0</v>
      </c>
      <c r="T10" s="1">
        <v>0</v>
      </c>
      <c r="U10" s="1">
        <v>1117</v>
      </c>
      <c r="V10" s="2">
        <v>0</v>
      </c>
      <c r="W10" s="2">
        <v>0</v>
      </c>
      <c r="X10" s="2">
        <v>0</v>
      </c>
      <c r="Y10" s="1">
        <v>0</v>
      </c>
      <c r="Z10" s="1">
        <v>17</v>
      </c>
      <c r="AA10" s="1">
        <v>0</v>
      </c>
      <c r="AB10" s="2">
        <v>0</v>
      </c>
      <c r="AC10" s="2">
        <v>0</v>
      </c>
      <c r="AD10" s="2">
        <v>0</v>
      </c>
      <c r="AE10" s="2">
        <v>0.61509999999999998</v>
      </c>
      <c r="AF10" s="1">
        <v>0</v>
      </c>
      <c r="AG10" s="1">
        <v>0</v>
      </c>
      <c r="AH10" s="2">
        <v>0</v>
      </c>
      <c r="AI10" s="2">
        <v>0</v>
      </c>
      <c r="AJ10" s="2">
        <v>0.1</v>
      </c>
      <c r="AK10" s="2">
        <v>0.23</v>
      </c>
      <c r="AL10" s="2">
        <v>0.23</v>
      </c>
      <c r="AQ10" s="3"/>
      <c r="AR10" t="s">
        <v>44</v>
      </c>
      <c r="AS10" s="4">
        <v>4963294</v>
      </c>
      <c r="AT10" s="4">
        <v>87495</v>
      </c>
      <c r="AU10">
        <v>66155</v>
      </c>
      <c r="AV10">
        <f t="shared" si="0"/>
        <v>56.726601520086859</v>
      </c>
      <c r="AW10">
        <f t="shared" si="1"/>
        <v>75.025228629733206</v>
      </c>
      <c r="AX10" s="4">
        <v>11839709</v>
      </c>
      <c r="AY10" s="5">
        <f>1-AS10/AX10</f>
        <v>0.58079256846599869</v>
      </c>
      <c r="AZ10" s="4">
        <v>0</v>
      </c>
      <c r="BA10">
        <v>0</v>
      </c>
      <c r="BC10" t="e">
        <f t="shared" si="2"/>
        <v>#DIV/0!</v>
      </c>
      <c r="BD10" t="e">
        <f t="shared" si="3"/>
        <v>#DIV/0!</v>
      </c>
      <c r="BF10" s="5" t="e">
        <f t="shared" si="4"/>
        <v>#DIV/0!</v>
      </c>
      <c r="BG10" t="s">
        <v>44</v>
      </c>
      <c r="BH10" s="4">
        <f t="shared" si="5"/>
        <v>4963294</v>
      </c>
      <c r="BI10" s="4">
        <f t="shared" si="6"/>
        <v>11839709</v>
      </c>
      <c r="BJ10" s="4">
        <f t="shared" si="7"/>
        <v>87495</v>
      </c>
      <c r="BK10" s="4">
        <f t="shared" si="8"/>
        <v>66155</v>
      </c>
    </row>
    <row r="11" spans="1:66" x14ac:dyDescent="0.35">
      <c r="A11" t="s">
        <v>22</v>
      </c>
      <c r="B11" t="s">
        <v>25</v>
      </c>
      <c r="C11" t="s">
        <v>15</v>
      </c>
      <c r="D11">
        <v>29590</v>
      </c>
      <c r="E11">
        <v>12529</v>
      </c>
      <c r="F11">
        <v>30871</v>
      </c>
      <c r="G11">
        <v>55253</v>
      </c>
      <c r="H11">
        <v>275</v>
      </c>
      <c r="I11">
        <v>571</v>
      </c>
      <c r="J11">
        <v>265</v>
      </c>
      <c r="K11">
        <v>711</v>
      </c>
      <c r="L11">
        <v>1130</v>
      </c>
      <c r="M11">
        <v>12</v>
      </c>
      <c r="N11">
        <v>52</v>
      </c>
      <c r="O11">
        <v>47</v>
      </c>
      <c r="P11">
        <v>43</v>
      </c>
      <c r="Q11">
        <v>49</v>
      </c>
      <c r="R11">
        <v>23</v>
      </c>
      <c r="S11" s="1">
        <v>422</v>
      </c>
      <c r="T11" s="1">
        <v>186</v>
      </c>
      <c r="U11" s="1">
        <v>536</v>
      </c>
      <c r="V11" s="2">
        <v>714</v>
      </c>
      <c r="W11" s="2">
        <v>6</v>
      </c>
      <c r="X11" s="2">
        <v>70</v>
      </c>
      <c r="Y11" s="1">
        <v>67</v>
      </c>
      <c r="Z11" s="1">
        <v>58</v>
      </c>
      <c r="AA11" s="1">
        <v>77</v>
      </c>
      <c r="AB11" s="2">
        <v>46</v>
      </c>
      <c r="AC11" s="2">
        <v>-0.30719999999999997</v>
      </c>
      <c r="AD11" s="2">
        <v>0.2203</v>
      </c>
      <c r="AE11" s="2">
        <v>0.33339999999999997</v>
      </c>
      <c r="AF11" s="1">
        <v>-1.1496</v>
      </c>
      <c r="AG11" s="1">
        <v>-0.27379999999999999</v>
      </c>
      <c r="AH11" s="2">
        <v>0.15</v>
      </c>
      <c r="AI11" s="2">
        <v>0.24</v>
      </c>
      <c r="AJ11" s="2">
        <v>0.24</v>
      </c>
      <c r="AK11" s="2">
        <v>0.1</v>
      </c>
      <c r="AL11" s="2">
        <v>0.1</v>
      </c>
      <c r="AQ11" s="3" t="s">
        <v>52</v>
      </c>
      <c r="AR11" t="s">
        <v>42</v>
      </c>
      <c r="AS11" s="4">
        <v>6871204</v>
      </c>
      <c r="AT11" s="4">
        <v>116141</v>
      </c>
      <c r="AU11" s="4">
        <v>57727</v>
      </c>
      <c r="AV11">
        <f t="shared" si="0"/>
        <v>59.162604076079937</v>
      </c>
      <c r="AW11">
        <f t="shared" si="1"/>
        <v>119.0292930517782</v>
      </c>
      <c r="AX11" s="4">
        <v>13289218</v>
      </c>
      <c r="AY11" s="5">
        <f>1-AS11/AX11</f>
        <v>0.48294895907343838</v>
      </c>
      <c r="AZ11" s="4">
        <v>3543879</v>
      </c>
      <c r="BA11" s="4">
        <v>148471</v>
      </c>
      <c r="BB11" s="4">
        <v>98528</v>
      </c>
      <c r="BC11">
        <f t="shared" si="2"/>
        <v>23.869166369189944</v>
      </c>
      <c r="BD11">
        <f t="shared" si="3"/>
        <v>35.968242530042218</v>
      </c>
      <c r="BE11" s="4">
        <v>10073955</v>
      </c>
      <c r="BF11" s="5">
        <f t="shared" si="4"/>
        <v>0.64821373532043769</v>
      </c>
      <c r="BG11" t="s">
        <v>42</v>
      </c>
      <c r="BH11" s="4">
        <f t="shared" si="5"/>
        <v>10415083</v>
      </c>
      <c r="BI11" s="4">
        <f t="shared" si="6"/>
        <v>23363173</v>
      </c>
      <c r="BJ11" s="4">
        <f t="shared" si="7"/>
        <v>264612</v>
      </c>
      <c r="BK11" s="4">
        <f t="shared" si="8"/>
        <v>156255</v>
      </c>
    </row>
    <row r="12" spans="1:66" x14ac:dyDescent="0.35">
      <c r="A12" t="s">
        <v>22</v>
      </c>
      <c r="B12" t="s">
        <v>25</v>
      </c>
      <c r="C12" t="s">
        <v>21</v>
      </c>
      <c r="D12">
        <v>15060</v>
      </c>
      <c r="E12">
        <v>7152</v>
      </c>
      <c r="F12">
        <v>0</v>
      </c>
      <c r="G12">
        <v>7537</v>
      </c>
      <c r="H12">
        <v>184</v>
      </c>
      <c r="I12">
        <v>694</v>
      </c>
      <c r="J12">
        <v>261</v>
      </c>
      <c r="K12">
        <v>0</v>
      </c>
      <c r="L12">
        <v>1130</v>
      </c>
      <c r="M12">
        <v>12</v>
      </c>
      <c r="N12">
        <v>22</v>
      </c>
      <c r="O12">
        <v>27</v>
      </c>
      <c r="P12">
        <v>0</v>
      </c>
      <c r="Q12">
        <v>7</v>
      </c>
      <c r="R12">
        <v>15</v>
      </c>
      <c r="S12" s="1">
        <v>679</v>
      </c>
      <c r="T12" s="1">
        <v>203</v>
      </c>
      <c r="U12" s="1">
        <v>14</v>
      </c>
      <c r="V12" s="2">
        <v>714</v>
      </c>
      <c r="W12" s="2">
        <v>6</v>
      </c>
      <c r="X12" s="2">
        <v>22</v>
      </c>
      <c r="Y12" s="1">
        <v>35</v>
      </c>
      <c r="Z12" s="1">
        <v>0</v>
      </c>
      <c r="AA12" s="1">
        <v>11</v>
      </c>
      <c r="AB12" s="2">
        <v>31</v>
      </c>
      <c r="AC12" s="2">
        <v>-0.23219999999999999</v>
      </c>
      <c r="AD12" s="2">
        <v>-0.3982</v>
      </c>
      <c r="AE12" s="2">
        <v>1</v>
      </c>
      <c r="AF12" s="1">
        <v>-1.1496</v>
      </c>
      <c r="AG12" s="1">
        <v>-0.27379999999999999</v>
      </c>
      <c r="AH12" s="2">
        <v>0.05</v>
      </c>
      <c r="AI12" s="2">
        <v>7.0000000000000007E-2</v>
      </c>
      <c r="AJ12" s="2">
        <v>0.16</v>
      </c>
      <c r="AK12" s="2">
        <v>0.1</v>
      </c>
      <c r="AL12" s="2">
        <v>0.1</v>
      </c>
      <c r="AQ12" s="3"/>
      <c r="AR12" t="s">
        <v>43</v>
      </c>
      <c r="AS12" s="4">
        <v>718048</v>
      </c>
      <c r="AT12" s="4">
        <v>14245</v>
      </c>
      <c r="AU12">
        <v>8000</v>
      </c>
      <c r="AV12">
        <f t="shared" si="0"/>
        <v>50.407020007020009</v>
      </c>
      <c r="AW12">
        <f t="shared" si="1"/>
        <v>89.756</v>
      </c>
      <c r="AX12" s="4">
        <v>2103000</v>
      </c>
      <c r="AY12" s="5">
        <f>1-AS12/AX12</f>
        <v>0.65856015216357577</v>
      </c>
      <c r="AZ12" s="4">
        <f>15681336+262865</f>
        <v>15944201</v>
      </c>
      <c r="BA12">
        <v>272999</v>
      </c>
      <c r="BB12">
        <v>297673</v>
      </c>
      <c r="BC12">
        <f t="shared" si="2"/>
        <v>58.403880600295238</v>
      </c>
      <c r="BD12">
        <f t="shared" si="3"/>
        <v>53.562805494619937</v>
      </c>
      <c r="BE12">
        <v>32083992</v>
      </c>
      <c r="BF12" s="5">
        <f t="shared" si="4"/>
        <v>0.50304809326719691</v>
      </c>
      <c r="BG12" t="s">
        <v>43</v>
      </c>
      <c r="BH12" s="4">
        <f t="shared" si="5"/>
        <v>16662249</v>
      </c>
      <c r="BI12" s="4">
        <f t="shared" si="6"/>
        <v>34186992</v>
      </c>
      <c r="BJ12" s="4">
        <f t="shared" si="7"/>
        <v>287244</v>
      </c>
      <c r="BK12" s="4">
        <f t="shared" si="8"/>
        <v>305673</v>
      </c>
    </row>
    <row r="13" spans="1:66" x14ac:dyDescent="0.35">
      <c r="A13" t="s">
        <v>22</v>
      </c>
      <c r="B13" t="s">
        <v>26</v>
      </c>
      <c r="C13" t="s">
        <v>15</v>
      </c>
      <c r="D13">
        <v>77962</v>
      </c>
      <c r="E13">
        <v>35980</v>
      </c>
      <c r="F13">
        <v>37212</v>
      </c>
      <c r="G13">
        <v>80942</v>
      </c>
      <c r="H13">
        <v>4850</v>
      </c>
      <c r="I13">
        <v>1054</v>
      </c>
      <c r="J13">
        <v>636</v>
      </c>
      <c r="K13">
        <v>656</v>
      </c>
      <c r="L13">
        <v>1439</v>
      </c>
      <c r="M13">
        <v>122</v>
      </c>
      <c r="N13">
        <v>74</v>
      </c>
      <c r="O13">
        <v>57</v>
      </c>
      <c r="P13">
        <v>57</v>
      </c>
      <c r="Q13">
        <v>56</v>
      </c>
      <c r="R13">
        <v>40</v>
      </c>
      <c r="S13" s="1">
        <v>1018</v>
      </c>
      <c r="T13" s="1">
        <v>552</v>
      </c>
      <c r="U13" s="1">
        <v>558</v>
      </c>
      <c r="V13" s="2">
        <v>1064</v>
      </c>
      <c r="W13" s="2">
        <v>69</v>
      </c>
      <c r="X13" s="2">
        <v>77</v>
      </c>
      <c r="Y13" s="1">
        <v>65</v>
      </c>
      <c r="Z13" s="1">
        <v>67</v>
      </c>
      <c r="AA13" s="1">
        <v>76</v>
      </c>
      <c r="AB13" s="2">
        <v>70</v>
      </c>
      <c r="AC13" s="2">
        <v>-1.1000000000000001E-3</v>
      </c>
      <c r="AD13" s="2">
        <v>0.30359999999999998</v>
      </c>
      <c r="AE13" s="2">
        <v>0.43</v>
      </c>
      <c r="AF13" s="1">
        <v>-0.62549999999999994</v>
      </c>
      <c r="AG13" s="1">
        <v>-0.50190000000000001</v>
      </c>
      <c r="AH13" s="2">
        <v>0.17</v>
      </c>
      <c r="AI13" s="2">
        <v>0.26</v>
      </c>
      <c r="AJ13" s="2">
        <v>0.26</v>
      </c>
      <c r="AK13" s="2">
        <v>0.13</v>
      </c>
      <c r="AL13" s="2">
        <v>0.13</v>
      </c>
      <c r="AQ13" s="3"/>
      <c r="AR13" t="s">
        <v>44</v>
      </c>
      <c r="AS13" s="4">
        <v>3222804</v>
      </c>
      <c r="AT13" s="4">
        <v>66637</v>
      </c>
      <c r="AU13">
        <v>57000</v>
      </c>
      <c r="AV13">
        <f t="shared" si="0"/>
        <v>48.363581793898284</v>
      </c>
      <c r="AW13">
        <f t="shared" si="1"/>
        <v>56.540421052631579</v>
      </c>
      <c r="AX13" s="4">
        <v>10578862</v>
      </c>
      <c r="AY13" s="5">
        <f>1-AS13/AX13</f>
        <v>0.69535437743681694</v>
      </c>
      <c r="AZ13" s="4">
        <v>0</v>
      </c>
      <c r="BA13">
        <v>0</v>
      </c>
      <c r="BC13" t="e">
        <f t="shared" si="2"/>
        <v>#DIV/0!</v>
      </c>
      <c r="BD13" t="e">
        <f t="shared" si="2"/>
        <v>#DIV/0!</v>
      </c>
      <c r="BG13" t="s">
        <v>44</v>
      </c>
      <c r="BH13" s="4">
        <f t="shared" si="5"/>
        <v>3222804</v>
      </c>
      <c r="BI13" s="4">
        <f t="shared" si="6"/>
        <v>10578862</v>
      </c>
      <c r="BJ13" s="4">
        <f t="shared" si="7"/>
        <v>66637</v>
      </c>
      <c r="BK13" s="4">
        <f t="shared" si="8"/>
        <v>57000</v>
      </c>
    </row>
    <row r="14" spans="1:66" x14ac:dyDescent="0.35">
      <c r="A14" t="s">
        <v>22</v>
      </c>
      <c r="B14" t="s">
        <v>26</v>
      </c>
      <c r="C14" t="s">
        <v>21</v>
      </c>
      <c r="D14">
        <v>77962</v>
      </c>
      <c r="E14">
        <v>35980</v>
      </c>
      <c r="F14">
        <v>37212</v>
      </c>
      <c r="G14">
        <v>129795</v>
      </c>
      <c r="H14">
        <v>9980</v>
      </c>
      <c r="I14">
        <v>1054</v>
      </c>
      <c r="J14">
        <v>636</v>
      </c>
      <c r="K14">
        <v>656</v>
      </c>
      <c r="L14">
        <v>1439</v>
      </c>
      <c r="M14">
        <v>122</v>
      </c>
      <c r="N14">
        <v>74</v>
      </c>
      <c r="O14">
        <v>57</v>
      </c>
      <c r="P14">
        <v>57</v>
      </c>
      <c r="Q14">
        <v>90</v>
      </c>
      <c r="R14">
        <v>82</v>
      </c>
      <c r="S14" s="1">
        <v>1018</v>
      </c>
      <c r="T14" s="1">
        <v>552</v>
      </c>
      <c r="U14" s="1">
        <v>558</v>
      </c>
      <c r="V14" s="2">
        <v>1064</v>
      </c>
      <c r="W14" s="2">
        <v>69</v>
      </c>
      <c r="X14" s="2">
        <v>77</v>
      </c>
      <c r="Y14" s="1">
        <v>65</v>
      </c>
      <c r="Z14" s="1">
        <v>67</v>
      </c>
      <c r="AA14" s="1">
        <v>122</v>
      </c>
      <c r="AB14" s="2">
        <v>145</v>
      </c>
      <c r="AC14" s="2">
        <v>-1.1000000000000001E-3</v>
      </c>
      <c r="AD14" s="2">
        <v>0.30359999999999998</v>
      </c>
      <c r="AE14" s="2">
        <v>0.43</v>
      </c>
      <c r="AF14" s="1">
        <v>-0.62549999999999994</v>
      </c>
      <c r="AG14" s="1">
        <v>-0.50190000000000001</v>
      </c>
      <c r="AH14" s="2">
        <v>0.17</v>
      </c>
      <c r="AI14" s="2">
        <v>0.26</v>
      </c>
      <c r="AJ14" s="2">
        <v>0.26</v>
      </c>
      <c r="AK14" s="2">
        <v>0.13</v>
      </c>
      <c r="AL14" s="2">
        <v>0.13</v>
      </c>
    </row>
    <row r="15" spans="1:66" x14ac:dyDescent="0.35">
      <c r="A15" t="s">
        <v>22</v>
      </c>
      <c r="B15" t="s">
        <v>20</v>
      </c>
      <c r="C15" t="s">
        <v>15</v>
      </c>
      <c r="D15">
        <v>15321</v>
      </c>
      <c r="E15">
        <v>41087</v>
      </c>
      <c r="F15">
        <v>2044</v>
      </c>
      <c r="G15">
        <v>7713</v>
      </c>
      <c r="H15">
        <v>0</v>
      </c>
      <c r="I15">
        <v>649</v>
      </c>
      <c r="J15">
        <v>1195</v>
      </c>
      <c r="K15">
        <v>92</v>
      </c>
      <c r="L15">
        <v>58</v>
      </c>
      <c r="M15">
        <v>0</v>
      </c>
      <c r="N15">
        <v>24</v>
      </c>
      <c r="O15">
        <v>34</v>
      </c>
      <c r="P15">
        <v>22</v>
      </c>
      <c r="Q15">
        <v>133</v>
      </c>
      <c r="R15">
        <v>0</v>
      </c>
      <c r="S15" s="1">
        <v>426</v>
      </c>
      <c r="T15" s="1">
        <v>820</v>
      </c>
      <c r="U15" s="1">
        <v>15</v>
      </c>
      <c r="V15" s="2">
        <v>54</v>
      </c>
      <c r="W15" s="2">
        <v>0</v>
      </c>
      <c r="X15" s="2">
        <v>36</v>
      </c>
      <c r="Y15" s="1">
        <v>50</v>
      </c>
      <c r="Z15" s="1">
        <v>136</v>
      </c>
      <c r="AA15" s="1">
        <v>143</v>
      </c>
      <c r="AB15" s="2">
        <v>0</v>
      </c>
      <c r="AC15" s="2">
        <v>0.33400000000000002</v>
      </c>
      <c r="AD15" s="2">
        <v>0.25769999999999998</v>
      </c>
      <c r="AE15" s="2">
        <v>-1.0189999999999999</v>
      </c>
      <c r="AF15" s="1">
        <v>-1.0246999999999999</v>
      </c>
      <c r="AG15" s="1">
        <v>0</v>
      </c>
      <c r="AH15" s="2">
        <v>0.12</v>
      </c>
      <c r="AI15" s="2">
        <v>0.15</v>
      </c>
      <c r="AJ15" s="2">
        <v>0.15</v>
      </c>
      <c r="AK15" s="2">
        <v>0.17</v>
      </c>
      <c r="AL15" s="2">
        <v>0.17</v>
      </c>
      <c r="AS15" s="3" t="s">
        <v>53</v>
      </c>
      <c r="AT15" s="3"/>
      <c r="AU15" s="3"/>
      <c r="AV15" s="3"/>
      <c r="AW15" s="3"/>
      <c r="AX15" s="3"/>
      <c r="AY15" s="3"/>
      <c r="AZ15" s="3" t="s">
        <v>54</v>
      </c>
      <c r="BA15" s="3"/>
      <c r="BB15" s="3"/>
      <c r="BC15" s="3"/>
      <c r="BD15" s="3"/>
      <c r="BE15" s="3"/>
      <c r="BF15" s="3"/>
      <c r="BL15" t="s">
        <v>56</v>
      </c>
      <c r="BM15" t="s">
        <v>2</v>
      </c>
      <c r="BN15" t="s">
        <v>4</v>
      </c>
    </row>
    <row r="16" spans="1:66" x14ac:dyDescent="0.35">
      <c r="A16" t="s">
        <v>22</v>
      </c>
      <c r="B16" t="s">
        <v>27</v>
      </c>
      <c r="C16" t="s">
        <v>15</v>
      </c>
      <c r="D16">
        <v>124182</v>
      </c>
      <c r="E16">
        <v>147286</v>
      </c>
      <c r="F16">
        <v>162294</v>
      </c>
      <c r="G16">
        <v>194365</v>
      </c>
      <c r="H16">
        <v>12690</v>
      </c>
      <c r="I16">
        <v>5267</v>
      </c>
      <c r="J16">
        <v>5709</v>
      </c>
      <c r="K16">
        <v>8091</v>
      </c>
      <c r="L16">
        <v>5146</v>
      </c>
      <c r="M16">
        <v>426</v>
      </c>
      <c r="N16">
        <v>24</v>
      </c>
      <c r="O16">
        <v>26</v>
      </c>
      <c r="P16">
        <v>20</v>
      </c>
      <c r="Q16">
        <v>38</v>
      </c>
      <c r="R16">
        <v>30</v>
      </c>
      <c r="S16" s="1">
        <v>6568</v>
      </c>
      <c r="T16" s="1">
        <v>5439</v>
      </c>
      <c r="U16" s="1">
        <v>6683</v>
      </c>
      <c r="V16" s="2">
        <v>3452</v>
      </c>
      <c r="W16" s="2">
        <v>226</v>
      </c>
      <c r="X16" s="2">
        <v>19</v>
      </c>
      <c r="Y16" s="1">
        <v>27</v>
      </c>
      <c r="Z16" s="1">
        <v>24</v>
      </c>
      <c r="AA16" s="1">
        <v>56</v>
      </c>
      <c r="AB16" s="2">
        <v>56</v>
      </c>
      <c r="AC16" s="2">
        <v>2.7400000000000001E-2</v>
      </c>
      <c r="AD16" s="2">
        <v>5.9700000000000003E-2</v>
      </c>
      <c r="AE16" s="2">
        <v>0.2505</v>
      </c>
      <c r="AF16" s="1">
        <v>-0.1172</v>
      </c>
      <c r="AG16" s="1">
        <v>-0.11409999999999999</v>
      </c>
      <c r="AH16" s="2">
        <v>0.05</v>
      </c>
      <c r="AI16" s="2">
        <v>0.08</v>
      </c>
      <c r="AJ16" s="2">
        <v>0.09</v>
      </c>
      <c r="AK16" s="2">
        <v>0.14000000000000001</v>
      </c>
      <c r="AL16" s="2">
        <v>0.14000000000000001</v>
      </c>
      <c r="AR16" t="s">
        <v>50</v>
      </c>
      <c r="AS16" s="4">
        <f>SUM(AS5:AS7)</f>
        <v>9997215</v>
      </c>
      <c r="AT16" s="4">
        <f>SUM(AT5:AT7)</f>
        <v>224521</v>
      </c>
      <c r="AU16" s="4">
        <f>SUM(AU5:AU7)</f>
        <v>123487</v>
      </c>
      <c r="AV16">
        <f t="shared" ref="AV16:AV18" si="9">AS16/AT16</f>
        <v>44.526859402906631</v>
      </c>
      <c r="AW16">
        <f t="shared" ref="AW16:AW18" si="10">AS16/AU16</f>
        <v>80.957631167653275</v>
      </c>
      <c r="AX16" s="4">
        <f>SUM(AX5:AX7)</f>
        <v>26930067</v>
      </c>
      <c r="AY16" s="5">
        <f t="shared" ref="AY16:AY18" si="11">1-AS16/AX16</f>
        <v>0.62877125407820189</v>
      </c>
      <c r="AZ16" s="4">
        <f>SUM(AZ5:AZ7)</f>
        <v>13043068</v>
      </c>
      <c r="BA16" s="4">
        <f>SUM(BA5:BA7)</f>
        <v>459767</v>
      </c>
      <c r="BB16" s="4">
        <f>SUM(BB5:BB7)</f>
        <v>283975</v>
      </c>
      <c r="BC16">
        <f t="shared" ref="BC16:BD18" si="12">AZ16/BA16</f>
        <v>28.368865099061047</v>
      </c>
      <c r="BD16">
        <f t="shared" ref="BD16:BD18" si="13">AZ16/BB16</f>
        <v>45.930338938286823</v>
      </c>
      <c r="BE16" s="4">
        <f>SUM(BE5:BE7)</f>
        <v>44748974</v>
      </c>
      <c r="BF16" s="5">
        <f t="shared" ref="BF16:BF18" si="14">1-AZ16/BE16</f>
        <v>0.70852811061098286</v>
      </c>
      <c r="BL16" t="s">
        <v>48</v>
      </c>
      <c r="BM16" s="6">
        <v>60.382838254423632</v>
      </c>
      <c r="BN16" s="6">
        <v>111.43125616573495</v>
      </c>
    </row>
    <row r="17" spans="1:66" x14ac:dyDescent="0.35">
      <c r="A17" t="s">
        <v>22</v>
      </c>
      <c r="B17" t="s">
        <v>27</v>
      </c>
      <c r="C17" t="s">
        <v>21</v>
      </c>
      <c r="D17">
        <v>191187</v>
      </c>
      <c r="E17">
        <v>84821</v>
      </c>
      <c r="F17">
        <v>93552</v>
      </c>
      <c r="G17">
        <v>236554</v>
      </c>
      <c r="H17">
        <v>24929</v>
      </c>
      <c r="I17">
        <v>2637</v>
      </c>
      <c r="J17">
        <v>1587</v>
      </c>
      <c r="K17">
        <v>1847</v>
      </c>
      <c r="L17">
        <v>5146</v>
      </c>
      <c r="M17">
        <v>426</v>
      </c>
      <c r="N17">
        <v>73</v>
      </c>
      <c r="O17">
        <v>53</v>
      </c>
      <c r="P17">
        <v>51</v>
      </c>
      <c r="Q17">
        <v>46</v>
      </c>
      <c r="R17">
        <v>59</v>
      </c>
      <c r="S17" s="1">
        <v>1998</v>
      </c>
      <c r="T17" s="1">
        <v>1119</v>
      </c>
      <c r="U17" s="1">
        <v>1073</v>
      </c>
      <c r="V17" s="2">
        <v>3452</v>
      </c>
      <c r="W17" s="2">
        <v>226</v>
      </c>
      <c r="X17" s="2">
        <v>96</v>
      </c>
      <c r="Y17" s="1">
        <v>76</v>
      </c>
      <c r="Z17" s="1">
        <v>87</v>
      </c>
      <c r="AA17" s="1">
        <v>69</v>
      </c>
      <c r="AB17" s="2">
        <v>110</v>
      </c>
      <c r="AC17" s="2">
        <v>-0.92610000000000003</v>
      </c>
      <c r="AD17" s="2">
        <v>0.43090000000000001</v>
      </c>
      <c r="AE17" s="2">
        <v>0.34539999999999998</v>
      </c>
      <c r="AF17" s="1">
        <v>-0.1172</v>
      </c>
      <c r="AG17" s="1">
        <v>-0.11409999999999999</v>
      </c>
      <c r="AH17" s="2">
        <v>0.14000000000000001</v>
      </c>
      <c r="AI17" s="2">
        <v>0.37</v>
      </c>
      <c r="AJ17" s="2">
        <v>0.37</v>
      </c>
      <c r="AK17" s="2">
        <v>0.14000000000000001</v>
      </c>
      <c r="AL17" s="2">
        <v>0.14000000000000001</v>
      </c>
      <c r="AR17" t="s">
        <v>51</v>
      </c>
      <c r="AS17" s="4">
        <f>SUM(AS8:AS10)</f>
        <v>13124199</v>
      </c>
      <c r="AT17" s="4">
        <f>SUM(AT8:AT10)</f>
        <v>237135</v>
      </c>
      <c r="AU17" s="4">
        <f>SUM(AU8:AU10)</f>
        <v>138534</v>
      </c>
      <c r="AV17">
        <f t="shared" si="9"/>
        <v>55.344841545954836</v>
      </c>
      <c r="AW17">
        <f t="shared" si="10"/>
        <v>94.736303001429249</v>
      </c>
      <c r="AX17" s="4">
        <f>SUM(AX8:AX10)</f>
        <v>29823029</v>
      </c>
      <c r="AY17" s="5">
        <f t="shared" si="11"/>
        <v>0.55993071662841487</v>
      </c>
      <c r="AZ17" s="4">
        <f>SUM(AZ8:AZ10)</f>
        <v>13515891</v>
      </c>
      <c r="BA17" s="4">
        <f>SUM(BA8:BA10)</f>
        <v>352137</v>
      </c>
      <c r="BB17" s="4">
        <f>SUM(BB8:BB10)</f>
        <v>318873</v>
      </c>
      <c r="BC17">
        <f t="shared" si="12"/>
        <v>38.382478978352175</v>
      </c>
      <c r="BD17">
        <f t="shared" si="13"/>
        <v>42.386439115259051</v>
      </c>
      <c r="BE17" s="4">
        <f>SUM(BE8:BE10)</f>
        <v>48047106</v>
      </c>
      <c r="BF17" s="5">
        <f t="shared" si="14"/>
        <v>0.71869500319124313</v>
      </c>
      <c r="BL17" t="s">
        <v>49</v>
      </c>
      <c r="BM17" s="6">
        <v>25.387961408115284</v>
      </c>
      <c r="BN17" s="6">
        <v>39.113978889139759</v>
      </c>
    </row>
    <row r="18" spans="1:66" x14ac:dyDescent="0.35">
      <c r="A18" t="s">
        <v>22</v>
      </c>
      <c r="B18" t="s">
        <v>28</v>
      </c>
      <c r="C18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">
        <v>0</v>
      </c>
      <c r="T18" s="1">
        <v>0</v>
      </c>
      <c r="U18" s="1">
        <v>0</v>
      </c>
      <c r="V18" s="2">
        <v>0</v>
      </c>
      <c r="W18" s="2">
        <v>0</v>
      </c>
      <c r="X18" s="2">
        <v>0</v>
      </c>
      <c r="Y18" s="1">
        <v>0</v>
      </c>
      <c r="Z18" s="1">
        <v>0</v>
      </c>
      <c r="AA18" s="1">
        <v>0</v>
      </c>
      <c r="AB18" s="2">
        <v>0</v>
      </c>
      <c r="AC18" s="2">
        <v>0</v>
      </c>
      <c r="AD18" s="2">
        <v>0</v>
      </c>
      <c r="AE18" s="2">
        <v>0</v>
      </c>
      <c r="AF18" s="1">
        <v>0</v>
      </c>
      <c r="AG18" s="1">
        <v>0</v>
      </c>
      <c r="AH18" s="2">
        <v>0.05</v>
      </c>
      <c r="AI18" s="2">
        <v>0.08</v>
      </c>
      <c r="AJ18" s="2">
        <v>0.09</v>
      </c>
      <c r="AK18" s="2">
        <v>0.37</v>
      </c>
      <c r="AL18" s="2">
        <v>0.37</v>
      </c>
      <c r="AR18" t="s">
        <v>52</v>
      </c>
      <c r="AS18" s="4">
        <f>SUM(AS11:AS13)</f>
        <v>10812056</v>
      </c>
      <c r="AT18" s="4">
        <f>SUM(AT11:AT13)</f>
        <v>197023</v>
      </c>
      <c r="AU18" s="4">
        <f>SUM(AU11:AU13)</f>
        <v>122727</v>
      </c>
      <c r="AV18">
        <f t="shared" si="9"/>
        <v>54.877126020819901</v>
      </c>
      <c r="AW18">
        <f t="shared" si="10"/>
        <v>88.098429848362628</v>
      </c>
      <c r="AX18" s="4">
        <f>SUM(AX11:AX13)</f>
        <v>25971080</v>
      </c>
      <c r="AY18" s="5">
        <f t="shared" si="11"/>
        <v>0.58368862596395688</v>
      </c>
      <c r="AZ18" s="4">
        <f>SUM(AZ11:AZ13)</f>
        <v>19488080</v>
      </c>
      <c r="BA18" s="4">
        <f>SUM(BA11:BA13)</f>
        <v>421470</v>
      </c>
      <c r="BB18" s="4">
        <f>SUM(BB11:BB13)</f>
        <v>396201</v>
      </c>
      <c r="BC18">
        <f t="shared" si="12"/>
        <v>46.23835622938762</v>
      </c>
      <c r="BD18">
        <f t="shared" si="13"/>
        <v>49.187356922370213</v>
      </c>
      <c r="BE18" s="4">
        <f>SUM(BE11:BE13)</f>
        <v>42157947</v>
      </c>
      <c r="BF18" s="5">
        <f t="shared" si="14"/>
        <v>0.53773650315562094</v>
      </c>
    </row>
    <row r="19" spans="1:66" x14ac:dyDescent="0.35">
      <c r="A19" t="s">
        <v>22</v>
      </c>
      <c r="B19" t="s">
        <v>29</v>
      </c>
      <c r="C19" t="s">
        <v>15</v>
      </c>
      <c r="D19">
        <v>63271</v>
      </c>
      <c r="E19">
        <v>18436</v>
      </c>
      <c r="F19">
        <v>21371</v>
      </c>
      <c r="G19">
        <v>109579</v>
      </c>
      <c r="H19">
        <v>5666</v>
      </c>
      <c r="I19">
        <v>623</v>
      </c>
      <c r="J19">
        <v>373</v>
      </c>
      <c r="K19">
        <v>406</v>
      </c>
      <c r="L19">
        <v>1784</v>
      </c>
      <c r="M19">
        <v>131</v>
      </c>
      <c r="N19">
        <v>102</v>
      </c>
      <c r="O19">
        <v>49</v>
      </c>
      <c r="P19">
        <v>53</v>
      </c>
      <c r="Q19">
        <v>61</v>
      </c>
      <c r="R19">
        <v>43</v>
      </c>
      <c r="S19" s="1">
        <v>471</v>
      </c>
      <c r="T19" s="1">
        <v>191</v>
      </c>
      <c r="U19" s="1">
        <v>199</v>
      </c>
      <c r="V19" s="2">
        <v>1357</v>
      </c>
      <c r="W19" s="2">
        <v>84</v>
      </c>
      <c r="X19" s="2">
        <v>134</v>
      </c>
      <c r="Y19" s="1">
        <v>97</v>
      </c>
      <c r="Z19" s="1">
        <v>107</v>
      </c>
      <c r="AA19" s="1">
        <v>81</v>
      </c>
      <c r="AB19" s="2">
        <v>67</v>
      </c>
      <c r="AC19" s="2">
        <v>-2.5202</v>
      </c>
      <c r="AD19" s="2">
        <v>-0.2767</v>
      </c>
      <c r="AE19" s="2">
        <v>-0.42049999999999998</v>
      </c>
      <c r="AF19" s="1">
        <v>-1.4923</v>
      </c>
      <c r="AG19" s="1">
        <v>-1.0818000000000001</v>
      </c>
      <c r="AH19" s="2">
        <v>0.11</v>
      </c>
      <c r="AI19" s="2">
        <v>0.21</v>
      </c>
      <c r="AJ19" s="2">
        <v>0.21</v>
      </c>
      <c r="AK19" s="2">
        <v>0.09</v>
      </c>
      <c r="AL19" s="2">
        <v>0.09</v>
      </c>
    </row>
    <row r="20" spans="1:66" x14ac:dyDescent="0.35">
      <c r="A20" t="s">
        <v>22</v>
      </c>
      <c r="B20" t="s">
        <v>29</v>
      </c>
      <c r="C20" t="s">
        <v>21</v>
      </c>
      <c r="D20">
        <v>7131</v>
      </c>
      <c r="E20">
        <v>12059</v>
      </c>
      <c r="F20">
        <v>0</v>
      </c>
      <c r="G20">
        <v>0</v>
      </c>
      <c r="H20">
        <v>0</v>
      </c>
      <c r="I20">
        <v>315</v>
      </c>
      <c r="J20">
        <v>398</v>
      </c>
      <c r="K20">
        <v>0</v>
      </c>
      <c r="L20">
        <v>1784</v>
      </c>
      <c r="M20">
        <v>131</v>
      </c>
      <c r="N20">
        <v>23</v>
      </c>
      <c r="O20">
        <v>30</v>
      </c>
      <c r="P20">
        <v>0</v>
      </c>
      <c r="Q20">
        <v>0</v>
      </c>
      <c r="R20">
        <v>0</v>
      </c>
      <c r="S20" s="1">
        <v>81</v>
      </c>
      <c r="T20" s="1">
        <v>89</v>
      </c>
      <c r="U20" s="1">
        <v>0</v>
      </c>
      <c r="V20" s="2">
        <v>1357</v>
      </c>
      <c r="W20" s="2">
        <v>84</v>
      </c>
      <c r="X20" s="2">
        <v>88</v>
      </c>
      <c r="Y20" s="1">
        <v>135</v>
      </c>
      <c r="Z20" s="1">
        <v>0</v>
      </c>
      <c r="AA20" s="1">
        <v>0</v>
      </c>
      <c r="AB20" s="2">
        <v>0</v>
      </c>
      <c r="AC20" s="2">
        <v>2.1899999999999999E-2</v>
      </c>
      <c r="AD20" s="2">
        <v>-1.8952</v>
      </c>
      <c r="AE20" s="2">
        <v>0</v>
      </c>
      <c r="AF20" s="1">
        <v>-1.4923</v>
      </c>
      <c r="AG20" s="1">
        <v>-1.0818000000000001</v>
      </c>
      <c r="AH20" s="2">
        <v>0.25</v>
      </c>
      <c r="AI20" s="2">
        <v>0.13</v>
      </c>
      <c r="AJ20" s="2">
        <v>0</v>
      </c>
      <c r="AK20" s="2">
        <v>0.09</v>
      </c>
      <c r="AL20" s="2">
        <v>0.09</v>
      </c>
      <c r="AT20" t="s">
        <v>45</v>
      </c>
      <c r="AU20" t="s">
        <v>47</v>
      </c>
      <c r="AV20" t="s">
        <v>5</v>
      </c>
      <c r="BB20" s="3" t="s">
        <v>48</v>
      </c>
      <c r="BC20" s="3"/>
      <c r="BD20" s="3"/>
      <c r="BE20" s="3"/>
      <c r="BF20" s="3"/>
      <c r="BG20" s="3" t="s">
        <v>49</v>
      </c>
      <c r="BH20" s="3"/>
      <c r="BI20" s="3"/>
      <c r="BJ20" s="3"/>
      <c r="BK20" s="3"/>
    </row>
    <row r="21" spans="1:66" x14ac:dyDescent="0.35">
      <c r="A21" t="s">
        <v>22</v>
      </c>
      <c r="B21" t="s">
        <v>30</v>
      </c>
      <c r="C21" t="s">
        <v>15</v>
      </c>
      <c r="D21">
        <v>40646</v>
      </c>
      <c r="E21">
        <v>13720</v>
      </c>
      <c r="F21">
        <v>10281</v>
      </c>
      <c r="G21">
        <v>38931</v>
      </c>
      <c r="H21">
        <v>2368</v>
      </c>
      <c r="I21">
        <v>337</v>
      </c>
      <c r="J21">
        <v>147</v>
      </c>
      <c r="K21">
        <v>136</v>
      </c>
      <c r="L21">
        <v>517</v>
      </c>
      <c r="M21">
        <v>52</v>
      </c>
      <c r="N21">
        <v>121</v>
      </c>
      <c r="O21">
        <v>93</v>
      </c>
      <c r="P21">
        <v>76</v>
      </c>
      <c r="Q21">
        <v>75</v>
      </c>
      <c r="R21">
        <v>46</v>
      </c>
      <c r="S21" s="1">
        <v>310</v>
      </c>
      <c r="T21" s="1">
        <v>137</v>
      </c>
      <c r="U21" s="1">
        <v>124</v>
      </c>
      <c r="V21" s="2">
        <v>324</v>
      </c>
      <c r="W21" s="2">
        <v>23</v>
      </c>
      <c r="X21" s="2">
        <v>131</v>
      </c>
      <c r="Y21" s="1">
        <v>100</v>
      </c>
      <c r="Z21" s="1">
        <v>83</v>
      </c>
      <c r="AA21" s="1">
        <v>120</v>
      </c>
      <c r="AB21" s="2">
        <v>103</v>
      </c>
      <c r="AC21" s="2">
        <v>-2.1949000000000001</v>
      </c>
      <c r="AD21" s="2">
        <v>-0.54549999999999998</v>
      </c>
      <c r="AE21" s="2">
        <v>-0.27950000000000003</v>
      </c>
      <c r="AF21" s="1">
        <v>-2.3376999999999999</v>
      </c>
      <c r="AG21" s="1">
        <v>-1.8597999999999999</v>
      </c>
      <c r="AH21" s="2">
        <v>0.11</v>
      </c>
      <c r="AI21" s="2">
        <v>0.18</v>
      </c>
      <c r="AJ21" s="2">
        <v>0.18</v>
      </c>
      <c r="AK21" s="2">
        <v>0.1</v>
      </c>
      <c r="AL21" s="2">
        <v>0.1</v>
      </c>
      <c r="AS21" t="s">
        <v>55</v>
      </c>
      <c r="AT21" s="4">
        <f>SUM(AS16,AZ16)</f>
        <v>23040283</v>
      </c>
      <c r="AU21" s="4">
        <f>SUM(AX16,BE16)</f>
        <v>71679041</v>
      </c>
      <c r="AV21" s="5">
        <f>1-AT21/AU21</f>
        <v>0.67856317999566984</v>
      </c>
      <c r="BB21" t="s">
        <v>45</v>
      </c>
      <c r="BC21" t="s">
        <v>1</v>
      </c>
      <c r="BD21" t="s">
        <v>57</v>
      </c>
      <c r="BE21" t="s">
        <v>2</v>
      </c>
      <c r="BF21" t="s">
        <v>4</v>
      </c>
      <c r="BG21" t="s">
        <v>45</v>
      </c>
      <c r="BH21" t="s">
        <v>1</v>
      </c>
      <c r="BI21" t="s">
        <v>57</v>
      </c>
      <c r="BJ21" t="s">
        <v>2</v>
      </c>
      <c r="BK21" t="s">
        <v>4</v>
      </c>
    </row>
    <row r="22" spans="1:66" x14ac:dyDescent="0.35">
      <c r="A22" t="s">
        <v>22</v>
      </c>
      <c r="B22" t="s">
        <v>31</v>
      </c>
      <c r="C22" t="s">
        <v>21</v>
      </c>
      <c r="D22">
        <v>126889</v>
      </c>
      <c r="E22">
        <v>171095</v>
      </c>
      <c r="F22">
        <v>192991</v>
      </c>
      <c r="G22">
        <v>152152</v>
      </c>
      <c r="H22">
        <v>14629</v>
      </c>
      <c r="I22">
        <v>1723</v>
      </c>
      <c r="J22">
        <v>1935</v>
      </c>
      <c r="K22">
        <v>2303</v>
      </c>
      <c r="L22">
        <v>0</v>
      </c>
      <c r="M22">
        <v>0</v>
      </c>
      <c r="N22">
        <v>74</v>
      </c>
      <c r="O22">
        <v>88</v>
      </c>
      <c r="P22">
        <v>84</v>
      </c>
      <c r="Q22">
        <v>0</v>
      </c>
      <c r="R22">
        <v>0</v>
      </c>
      <c r="S22" s="1">
        <v>1340</v>
      </c>
      <c r="T22" s="1">
        <v>1505</v>
      </c>
      <c r="U22" s="1">
        <v>1327</v>
      </c>
      <c r="V22" s="2">
        <v>0</v>
      </c>
      <c r="W22" s="2">
        <v>0</v>
      </c>
      <c r="X22" s="2">
        <v>95</v>
      </c>
      <c r="Y22" s="1">
        <v>114</v>
      </c>
      <c r="Z22" s="1">
        <v>145</v>
      </c>
      <c r="AA22" s="1">
        <v>0</v>
      </c>
      <c r="AB22" s="2">
        <v>0</v>
      </c>
      <c r="AC22" s="2">
        <v>-5.21E-2</v>
      </c>
      <c r="AD22" s="2">
        <v>-0.26319999999999999</v>
      </c>
      <c r="AE22" s="2">
        <v>-0.6159</v>
      </c>
      <c r="AF22" s="1">
        <v>0</v>
      </c>
      <c r="AG22" s="1">
        <v>0</v>
      </c>
      <c r="AH22" s="2">
        <v>0.25</v>
      </c>
      <c r="AI22" s="2">
        <v>0.25</v>
      </c>
      <c r="AJ22" s="2">
        <v>0.25</v>
      </c>
      <c r="AK22" s="2">
        <v>0</v>
      </c>
      <c r="AL22" s="2">
        <v>0</v>
      </c>
      <c r="AS22" t="s">
        <v>51</v>
      </c>
      <c r="AT22" s="4">
        <f t="shared" ref="AT22:AT23" si="15">SUM(AS17,AZ17)</f>
        <v>26640090</v>
      </c>
      <c r="AU22" s="4">
        <f t="shared" ref="AU22:AU23" si="16">SUM(AX17,BE17)</f>
        <v>77870135</v>
      </c>
      <c r="AV22" s="5">
        <f t="shared" ref="AV22:AV25" si="17">1-AT22/AU22</f>
        <v>0.65789079471866851</v>
      </c>
      <c r="BA22" t="s">
        <v>50</v>
      </c>
      <c r="BB22">
        <v>9997215</v>
      </c>
      <c r="BC22">
        <v>224521</v>
      </c>
      <c r="BD22">
        <v>123487</v>
      </c>
      <c r="BE22" s="6">
        <v>44.526859402906631</v>
      </c>
      <c r="BF22" s="6">
        <v>80.957631167653275</v>
      </c>
      <c r="BG22">
        <v>13043068</v>
      </c>
      <c r="BH22">
        <v>382608</v>
      </c>
      <c r="BI22">
        <v>238203</v>
      </c>
      <c r="BJ22" s="6">
        <f>BG22/BH22</f>
        <v>34.089898799815998</v>
      </c>
      <c r="BK22" s="6">
        <f>BG22/BI22</f>
        <v>54.756102987787727</v>
      </c>
    </row>
    <row r="23" spans="1:66" x14ac:dyDescent="0.35">
      <c r="A23" t="s">
        <v>32</v>
      </c>
      <c r="B23" t="s">
        <v>33</v>
      </c>
      <c r="C23" t="s">
        <v>15</v>
      </c>
      <c r="D23">
        <v>0</v>
      </c>
      <c r="E23">
        <v>4914</v>
      </c>
      <c r="F23">
        <v>7316</v>
      </c>
      <c r="G23">
        <v>8384</v>
      </c>
      <c r="H23">
        <v>0</v>
      </c>
      <c r="I23">
        <v>0</v>
      </c>
      <c r="J23">
        <v>92</v>
      </c>
      <c r="K23">
        <v>99</v>
      </c>
      <c r="L23">
        <v>178</v>
      </c>
      <c r="M23">
        <v>0</v>
      </c>
      <c r="N23">
        <v>0</v>
      </c>
      <c r="O23">
        <v>53</v>
      </c>
      <c r="P23">
        <v>74</v>
      </c>
      <c r="Q23">
        <v>47</v>
      </c>
      <c r="R23">
        <v>0</v>
      </c>
      <c r="S23" s="1">
        <v>0</v>
      </c>
      <c r="T23" s="1">
        <v>26</v>
      </c>
      <c r="U23" s="1">
        <v>43</v>
      </c>
      <c r="V23" s="2">
        <v>51</v>
      </c>
      <c r="W23" s="2">
        <v>0</v>
      </c>
      <c r="X23" s="2">
        <v>0</v>
      </c>
      <c r="Y23" s="1">
        <v>189</v>
      </c>
      <c r="Z23" s="1">
        <v>170</v>
      </c>
      <c r="AA23" s="1">
        <v>164</v>
      </c>
      <c r="AB23" s="2">
        <v>0</v>
      </c>
      <c r="AC23" s="2">
        <v>0</v>
      </c>
      <c r="AD23" s="2">
        <v>-0.2601</v>
      </c>
      <c r="AE23" s="2">
        <v>-0.1343</v>
      </c>
      <c r="AF23" s="1">
        <v>-9.6000000000000002E-2</v>
      </c>
      <c r="AG23" s="1">
        <v>0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S23" t="s">
        <v>52</v>
      </c>
      <c r="AT23" s="4">
        <f t="shared" si="15"/>
        <v>30300136</v>
      </c>
      <c r="AU23" s="4">
        <f t="shared" si="16"/>
        <v>68129027</v>
      </c>
      <c r="AV23" s="5">
        <f t="shared" si="17"/>
        <v>0.55525365128141346</v>
      </c>
      <c r="BA23" t="s">
        <v>51</v>
      </c>
      <c r="BB23">
        <v>13124199</v>
      </c>
      <c r="BC23">
        <v>237135</v>
      </c>
      <c r="BD23">
        <v>138534</v>
      </c>
      <c r="BE23" s="6">
        <v>55.344841545954836</v>
      </c>
      <c r="BF23" s="6">
        <v>94.736303001429249</v>
      </c>
      <c r="BG23">
        <v>13515891</v>
      </c>
      <c r="BH23">
        <v>542733</v>
      </c>
      <c r="BI23">
        <v>319460</v>
      </c>
      <c r="BJ23" s="6">
        <f t="shared" ref="BJ23:BJ24" si="18">BG23/BH23</f>
        <v>24.903388959211988</v>
      </c>
      <c r="BK23" s="6">
        <f t="shared" ref="BK23:BK24" si="19">BG23/BI23</f>
        <v>42.30855506166656</v>
      </c>
    </row>
    <row r="24" spans="1:66" x14ac:dyDescent="0.35">
      <c r="A24" t="s">
        <v>32</v>
      </c>
      <c r="B24" t="s">
        <v>33</v>
      </c>
      <c r="C24" t="s">
        <v>21</v>
      </c>
      <c r="D24">
        <v>0</v>
      </c>
      <c r="E24">
        <v>4914</v>
      </c>
      <c r="F24">
        <v>7316</v>
      </c>
      <c r="G24">
        <v>44686</v>
      </c>
      <c r="H24">
        <v>0</v>
      </c>
      <c r="I24">
        <v>0</v>
      </c>
      <c r="J24">
        <v>92</v>
      </c>
      <c r="K24">
        <v>99</v>
      </c>
      <c r="L24">
        <v>178</v>
      </c>
      <c r="M24">
        <v>0</v>
      </c>
      <c r="N24">
        <v>0</v>
      </c>
      <c r="O24">
        <v>53</v>
      </c>
      <c r="P24">
        <v>74</v>
      </c>
      <c r="Q24">
        <v>251</v>
      </c>
      <c r="R24">
        <v>0</v>
      </c>
      <c r="S24" s="1">
        <v>0</v>
      </c>
      <c r="T24" s="1">
        <v>26</v>
      </c>
      <c r="U24" s="1">
        <v>43</v>
      </c>
      <c r="V24" s="2">
        <v>51</v>
      </c>
      <c r="W24" s="2">
        <v>0</v>
      </c>
      <c r="X24" s="2">
        <v>0</v>
      </c>
      <c r="Y24" s="1">
        <v>189</v>
      </c>
      <c r="Z24" s="1">
        <v>170</v>
      </c>
      <c r="AA24" s="1">
        <v>876</v>
      </c>
      <c r="AB24" s="2">
        <v>0</v>
      </c>
      <c r="AC24" s="2">
        <v>0</v>
      </c>
      <c r="AD24" s="2">
        <v>-0.2601</v>
      </c>
      <c r="AE24" s="2">
        <v>-0.1343</v>
      </c>
      <c r="AF24" s="1">
        <v>-9.6000000000000002E-2</v>
      </c>
      <c r="AG24" s="1">
        <v>0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T24" t="s">
        <v>45</v>
      </c>
      <c r="AU24" t="s">
        <v>47</v>
      </c>
      <c r="AV24" t="s">
        <v>5</v>
      </c>
      <c r="BA24" t="s">
        <v>52</v>
      </c>
      <c r="BB24">
        <v>10812056</v>
      </c>
      <c r="BC24">
        <v>197023</v>
      </c>
      <c r="BD24">
        <v>122727</v>
      </c>
      <c r="BE24" s="6">
        <v>54.877126020819901</v>
      </c>
      <c r="BF24" s="6">
        <v>88.098429848362628</v>
      </c>
      <c r="BG24">
        <v>19488080</v>
      </c>
      <c r="BH24">
        <v>533736</v>
      </c>
      <c r="BI24">
        <v>396201</v>
      </c>
      <c r="BJ24" s="6">
        <f t="shared" si="18"/>
        <v>36.512582999835125</v>
      </c>
      <c r="BK24" s="6">
        <f t="shared" si="19"/>
        <v>49.187356922370213</v>
      </c>
    </row>
    <row r="25" spans="1:66" x14ac:dyDescent="0.35">
      <c r="A25" t="s">
        <v>32</v>
      </c>
      <c r="B25" t="s">
        <v>34</v>
      </c>
      <c r="C25" t="s">
        <v>15</v>
      </c>
      <c r="D25">
        <v>756</v>
      </c>
      <c r="E25">
        <v>0</v>
      </c>
      <c r="F25">
        <v>0</v>
      </c>
      <c r="G25">
        <v>0</v>
      </c>
      <c r="H25">
        <v>0</v>
      </c>
      <c r="I25">
        <v>35</v>
      </c>
      <c r="J25">
        <v>0</v>
      </c>
      <c r="K25">
        <v>0</v>
      </c>
      <c r="L25">
        <v>0</v>
      </c>
      <c r="M25">
        <v>0</v>
      </c>
      <c r="N25">
        <v>22</v>
      </c>
      <c r="O25">
        <v>0</v>
      </c>
      <c r="P25">
        <v>0</v>
      </c>
      <c r="Q25">
        <v>0</v>
      </c>
      <c r="R25">
        <v>0</v>
      </c>
      <c r="S25" s="1">
        <v>2</v>
      </c>
      <c r="T25" s="1">
        <v>0</v>
      </c>
      <c r="U25" s="1">
        <v>0</v>
      </c>
      <c r="V25" s="2">
        <v>0</v>
      </c>
      <c r="W25" s="2">
        <v>0</v>
      </c>
      <c r="X25" s="2">
        <v>378</v>
      </c>
      <c r="Y25" s="1">
        <v>0</v>
      </c>
      <c r="Z25" s="1">
        <v>0</v>
      </c>
      <c r="AA25" s="1">
        <v>0</v>
      </c>
      <c r="AB25" s="2">
        <v>0</v>
      </c>
      <c r="AC25" s="2">
        <v>-1.5216000000000001</v>
      </c>
      <c r="AD25" s="2">
        <v>0</v>
      </c>
      <c r="AE25" s="2">
        <v>0</v>
      </c>
      <c r="AF25" s="1">
        <v>0</v>
      </c>
      <c r="AG25" s="1">
        <v>0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S25" t="s">
        <v>56</v>
      </c>
      <c r="AT25" s="4">
        <f>AVERAGE(AT21:AT23)</f>
        <v>26660169.666666668</v>
      </c>
      <c r="AU25" s="4">
        <f>AVERAGE(AU21:AU23)</f>
        <v>72559401</v>
      </c>
      <c r="AV25" s="5">
        <f t="shared" si="17"/>
        <v>0.63257456236902132</v>
      </c>
      <c r="BB25" s="3" t="s">
        <v>48</v>
      </c>
      <c r="BC25" s="3"/>
      <c r="BD25" s="3"/>
      <c r="BE25" s="3"/>
      <c r="BF25" s="3"/>
      <c r="BG25" s="3" t="s">
        <v>49</v>
      </c>
      <c r="BH25" s="3"/>
      <c r="BI25" s="3"/>
      <c r="BJ25" s="3"/>
      <c r="BK25" s="3"/>
    </row>
    <row r="26" spans="1:66" x14ac:dyDescent="0.35">
      <c r="A26" t="s">
        <v>32</v>
      </c>
      <c r="B26" t="s">
        <v>35</v>
      </c>
      <c r="C26" t="s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">
        <v>0</v>
      </c>
      <c r="T26" s="1">
        <v>0</v>
      </c>
      <c r="U26" s="1">
        <v>0</v>
      </c>
      <c r="V26" s="2">
        <v>0</v>
      </c>
      <c r="W26" s="2">
        <v>0</v>
      </c>
      <c r="X26" s="2">
        <v>0</v>
      </c>
      <c r="Y26" s="1">
        <v>0</v>
      </c>
      <c r="Z26" s="1">
        <v>0</v>
      </c>
      <c r="AA26" s="1">
        <v>0</v>
      </c>
      <c r="AB26" s="2">
        <v>0</v>
      </c>
      <c r="AC26" s="2">
        <v>0</v>
      </c>
      <c r="AD26" s="2">
        <v>0</v>
      </c>
      <c r="AE26" s="2">
        <v>0</v>
      </c>
      <c r="AF26" s="1">
        <v>0</v>
      </c>
      <c r="AG26" s="1">
        <v>0</v>
      </c>
      <c r="AH26" s="2">
        <v>1</v>
      </c>
      <c r="AI26" s="2">
        <v>1</v>
      </c>
      <c r="AJ26" s="2">
        <v>1</v>
      </c>
      <c r="AK26" s="2">
        <v>0.25</v>
      </c>
      <c r="AL26" s="2">
        <v>0.25</v>
      </c>
      <c r="BA26" t="s">
        <v>56</v>
      </c>
      <c r="BB26" s="6">
        <f>AVERAGE(BB22:BB24)</f>
        <v>11311156.666666666</v>
      </c>
      <c r="BC26" s="6">
        <f>AVERAGE(BC22:BC24)</f>
        <v>219559.66666666666</v>
      </c>
      <c r="BD26" s="6">
        <f>AVERAGE(BD22:BD24)</f>
        <v>128249.33333333333</v>
      </c>
      <c r="BE26" s="6">
        <f>BB26/BC26</f>
        <v>51.517461464537355</v>
      </c>
      <c r="BF26" s="6">
        <f>BB26/BD26</f>
        <v>88.19661180824852</v>
      </c>
      <c r="BG26" s="6">
        <f>AVERAGE(BG22:BG24)</f>
        <v>15349013</v>
      </c>
      <c r="BH26" s="6">
        <f>AVERAGE(BH22:BH24)</f>
        <v>486359</v>
      </c>
      <c r="BI26" s="6">
        <f>AVERAGE(BI22:BI24)</f>
        <v>317954.66666666669</v>
      </c>
      <c r="BJ26" s="6">
        <f>BG26/BH26</f>
        <v>31.5590191607434</v>
      </c>
      <c r="BK26" s="6">
        <f>BG26/BI26</f>
        <v>48.274218337205298</v>
      </c>
    </row>
    <row r="27" spans="1:66" x14ac:dyDescent="0.35">
      <c r="A27" t="s">
        <v>36</v>
      </c>
      <c r="B27" t="s">
        <v>37</v>
      </c>
      <c r="C27" t="s">
        <v>15</v>
      </c>
      <c r="D27">
        <v>0</v>
      </c>
      <c r="E27">
        <v>418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418</v>
      </c>
      <c r="P27">
        <v>0</v>
      </c>
      <c r="Q27">
        <v>0</v>
      </c>
      <c r="R27">
        <v>0</v>
      </c>
      <c r="S27" s="1">
        <v>0</v>
      </c>
      <c r="T27" s="1">
        <v>0</v>
      </c>
      <c r="U27" s="1">
        <v>0</v>
      </c>
      <c r="V27" s="2">
        <v>0</v>
      </c>
      <c r="W27" s="2">
        <v>0</v>
      </c>
      <c r="X27" s="2">
        <v>0</v>
      </c>
      <c r="Y27" s="1">
        <v>0</v>
      </c>
      <c r="Z27" s="1">
        <v>0</v>
      </c>
      <c r="AA27" s="1">
        <v>0</v>
      </c>
      <c r="AB27" s="2">
        <v>0</v>
      </c>
      <c r="AC27" s="2">
        <v>0</v>
      </c>
      <c r="AD27" s="2">
        <v>0</v>
      </c>
      <c r="AE27" s="2">
        <v>0</v>
      </c>
      <c r="AF27" s="1">
        <v>0</v>
      </c>
      <c r="AG27" s="1">
        <v>0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</row>
    <row r="28" spans="1:66" x14ac:dyDescent="0.35">
      <c r="A28" t="s">
        <v>36</v>
      </c>
      <c r="B28" t="s">
        <v>37</v>
      </c>
      <c r="C28" t="s">
        <v>21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0</v>
      </c>
      <c r="N28">
        <v>0</v>
      </c>
      <c r="O28">
        <v>50</v>
      </c>
      <c r="P28">
        <v>0</v>
      </c>
      <c r="Q28">
        <v>0</v>
      </c>
      <c r="R28">
        <v>0</v>
      </c>
      <c r="S28" s="1">
        <v>0</v>
      </c>
      <c r="T28" s="1">
        <v>0</v>
      </c>
      <c r="U28" s="1">
        <v>0</v>
      </c>
      <c r="V28" s="2">
        <v>0</v>
      </c>
      <c r="W28" s="2">
        <v>0</v>
      </c>
      <c r="X28" s="2">
        <v>0</v>
      </c>
      <c r="Y28" s="1">
        <v>0</v>
      </c>
      <c r="Z28" s="1">
        <v>0</v>
      </c>
      <c r="AA28" s="1">
        <v>0</v>
      </c>
      <c r="AB28" s="2">
        <v>0</v>
      </c>
      <c r="AC28" s="2">
        <v>0</v>
      </c>
      <c r="AD28" s="2">
        <v>0</v>
      </c>
      <c r="AE28" s="2">
        <v>0</v>
      </c>
      <c r="AF28" s="1">
        <v>0</v>
      </c>
      <c r="AG28" s="1">
        <v>0</v>
      </c>
      <c r="AH28" s="2">
        <v>0.6</v>
      </c>
      <c r="AI28" s="2">
        <v>0.6</v>
      </c>
      <c r="AJ28" s="2">
        <v>0.6</v>
      </c>
      <c r="AK28" s="2">
        <v>1</v>
      </c>
      <c r="AL28" s="2">
        <v>1</v>
      </c>
      <c r="BB28" t="s">
        <v>56</v>
      </c>
      <c r="BC28" t="s">
        <v>0</v>
      </c>
      <c r="BD28" t="s">
        <v>47</v>
      </c>
      <c r="BE28" t="s">
        <v>5</v>
      </c>
      <c r="BF28" t="s">
        <v>60</v>
      </c>
      <c r="BG28" t="s">
        <v>62</v>
      </c>
    </row>
    <row r="29" spans="1:66" x14ac:dyDescent="0.35">
      <c r="A29" t="s">
        <v>36</v>
      </c>
      <c r="B29" t="s">
        <v>38</v>
      </c>
      <c r="C29" t="s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">
        <v>0</v>
      </c>
      <c r="T29" s="1">
        <v>0</v>
      </c>
      <c r="U29" s="1">
        <v>0</v>
      </c>
      <c r="V29" s="2">
        <v>0</v>
      </c>
      <c r="W29" s="2">
        <v>0</v>
      </c>
      <c r="X29" s="2">
        <v>0</v>
      </c>
      <c r="Y29" s="1">
        <v>0</v>
      </c>
      <c r="Z29" s="1">
        <v>0</v>
      </c>
      <c r="AA29" s="1">
        <v>0</v>
      </c>
      <c r="AB29" s="2">
        <v>0</v>
      </c>
      <c r="AC29" s="2">
        <v>0</v>
      </c>
      <c r="AD29" s="2">
        <v>0</v>
      </c>
      <c r="AE29" s="2">
        <v>0</v>
      </c>
      <c r="AF29" s="1">
        <v>0</v>
      </c>
      <c r="AG29" s="1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BB29" t="s">
        <v>42</v>
      </c>
      <c r="BC29">
        <v>9549022</v>
      </c>
      <c r="BD29">
        <v>22087724</v>
      </c>
      <c r="BE29" s="5">
        <f>1-BC29/BD29</f>
        <v>0.56767741212267953</v>
      </c>
      <c r="BF29">
        <v>221415</v>
      </c>
      <c r="BG29">
        <v>131684</v>
      </c>
      <c r="BH29">
        <f>BC29/BF29</f>
        <v>43.127258767472846</v>
      </c>
      <c r="BI29">
        <f>BC29/BG29</f>
        <v>72.514671486285351</v>
      </c>
    </row>
    <row r="30" spans="1:66" x14ac:dyDescent="0.35">
      <c r="A30" t="s">
        <v>36</v>
      </c>
      <c r="B30" t="s">
        <v>39</v>
      </c>
      <c r="C30" t="s">
        <v>21</v>
      </c>
      <c r="D30">
        <v>0</v>
      </c>
      <c r="E30">
        <v>20365</v>
      </c>
      <c r="F30">
        <v>2794</v>
      </c>
      <c r="G30">
        <v>0</v>
      </c>
      <c r="H30">
        <v>0</v>
      </c>
      <c r="I30">
        <v>0</v>
      </c>
      <c r="J30">
        <v>477</v>
      </c>
      <c r="K30">
        <v>65</v>
      </c>
      <c r="L30">
        <v>0</v>
      </c>
      <c r="M30">
        <v>0</v>
      </c>
      <c r="N30">
        <v>0</v>
      </c>
      <c r="O30">
        <v>43</v>
      </c>
      <c r="P30">
        <v>43</v>
      </c>
      <c r="Q30">
        <v>0</v>
      </c>
      <c r="R30">
        <v>0</v>
      </c>
      <c r="S30">
        <v>0</v>
      </c>
      <c r="T30">
        <v>200</v>
      </c>
      <c r="U30">
        <v>43</v>
      </c>
      <c r="V30">
        <v>0</v>
      </c>
      <c r="W30">
        <v>0</v>
      </c>
      <c r="X30" s="1">
        <v>0</v>
      </c>
      <c r="Y30" s="1">
        <v>102</v>
      </c>
      <c r="Z30" s="1">
        <v>65</v>
      </c>
      <c r="AA30" s="1">
        <v>0</v>
      </c>
      <c r="AB30" s="2">
        <v>0</v>
      </c>
      <c r="AC30" s="2">
        <v>0</v>
      </c>
      <c r="AD30" s="2">
        <v>0.28539999999999999</v>
      </c>
      <c r="AE30" s="2">
        <v>0.56679999999999997</v>
      </c>
      <c r="AF30" s="1">
        <v>0</v>
      </c>
      <c r="AG30" s="1">
        <v>0</v>
      </c>
      <c r="AH30" s="2">
        <v>0.95</v>
      </c>
      <c r="AI30" s="2">
        <v>0.95</v>
      </c>
      <c r="AJ30" s="2">
        <v>1</v>
      </c>
      <c r="AK30" s="2">
        <v>1</v>
      </c>
      <c r="AL30" s="2">
        <v>1</v>
      </c>
      <c r="BB30" t="s">
        <v>43</v>
      </c>
      <c r="BC30">
        <v>13278260</v>
      </c>
      <c r="BD30">
        <v>39806942</v>
      </c>
      <c r="BE30" s="5">
        <f t="shared" ref="BE30:BE31" si="20">1-BC30/BD30</f>
        <v>0.66643355824720218</v>
      </c>
    </row>
    <row r="31" spans="1:66" x14ac:dyDescent="0.35">
      <c r="BB31" t="s">
        <v>44</v>
      </c>
      <c r="BC31">
        <v>3832888</v>
      </c>
      <c r="BD31">
        <v>10664735</v>
      </c>
      <c r="BE31" s="5">
        <f t="shared" si="20"/>
        <v>0.6406016652078087</v>
      </c>
    </row>
  </sheetData>
  <mergeCells count="18">
    <mergeCell ref="AS15:AY15"/>
    <mergeCell ref="AZ15:BF15"/>
    <mergeCell ref="BB20:BF20"/>
    <mergeCell ref="BG20:BK20"/>
    <mergeCell ref="BB25:BF25"/>
    <mergeCell ref="BG25:BK25"/>
    <mergeCell ref="AS3:AY3"/>
    <mergeCell ref="AZ3:BF3"/>
    <mergeCell ref="AQ5:AQ7"/>
    <mergeCell ref="AQ8:AQ10"/>
    <mergeCell ref="AQ11:AQ13"/>
    <mergeCell ref="AH1:AL1"/>
    <mergeCell ref="D1:H1"/>
    <mergeCell ref="I1:M1"/>
    <mergeCell ref="N1:R1"/>
    <mergeCell ref="S1:W1"/>
    <mergeCell ref="X1:AB1"/>
    <mergeCell ref="AC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2026-06-22T14:27:22Z</dcterms:created>
  <dcterms:modified xsi:type="dcterms:W3CDTF">2026-10-08T00:37:48Z</dcterms:modified>
</cp:coreProperties>
</file>